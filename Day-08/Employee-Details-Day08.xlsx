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8_{8D572F99-5C1C-4A51-8631-C7224A0C1165}" xr6:coauthVersionLast="47" xr6:coauthVersionMax="47" xr10:uidLastSave="{00000000-0000-0000-0000-000000000000}"/>
  <bookViews>
    <workbookView xWindow="-108" yWindow="-108" windowWidth="23256" windowHeight="12456" firstSheet="14" activeTab="17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  <sheet name="Day-5 Clean Dataset" sheetId="12" r:id="rId10"/>
    <sheet name="Day-5 Observations" sheetId="13" r:id="rId11"/>
    <sheet name="Day-6 Clean Dataset" sheetId="14" r:id="rId12"/>
    <sheet name="Day-6 Observations" sheetId="15" r:id="rId13"/>
    <sheet name="Day-7 Clean Dataset" sheetId="16" r:id="rId14"/>
    <sheet name="Day-7 Power Query" sheetId="18" r:id="rId15"/>
    <sheet name="Day-7 Observations" sheetId="17" r:id="rId16"/>
    <sheet name="Day-8 Clean Dataset" sheetId="19" r:id="rId17"/>
    <sheet name="Day-8 Observations" sheetId="20" r:id="rId18"/>
  </sheets>
  <definedNames>
    <definedName name="_xlnm._FilterDatabase" localSheetId="11" hidden="1">'Day-6 Clean Dataset'!$A$1:$U$151</definedName>
    <definedName name="_xlnm._FilterDatabase" localSheetId="16" hidden="1">'Day-8 Clean Dataset'!$K$1:$K$151</definedName>
    <definedName name="ExternalData_1" localSheetId="14" hidden="1">'Day-7 Power Query'!$A$1:$I$151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9" l="1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2" i="19"/>
  <c r="U151" i="16"/>
  <c r="T151" i="16"/>
  <c r="S151" i="16"/>
  <c r="R151" i="16"/>
  <c r="Q151" i="16"/>
  <c r="P151" i="16"/>
  <c r="M151" i="16"/>
  <c r="U150" i="16"/>
  <c r="T150" i="16"/>
  <c r="S150" i="16"/>
  <c r="R150" i="16"/>
  <c r="Q150" i="16"/>
  <c r="P150" i="16"/>
  <c r="M150" i="16"/>
  <c r="U149" i="16"/>
  <c r="T149" i="16"/>
  <c r="S149" i="16"/>
  <c r="R149" i="16"/>
  <c r="Q149" i="16"/>
  <c r="P149" i="16"/>
  <c r="M149" i="16"/>
  <c r="U148" i="16"/>
  <c r="T148" i="16"/>
  <c r="S148" i="16"/>
  <c r="R148" i="16"/>
  <c r="Q148" i="16"/>
  <c r="P148" i="16"/>
  <c r="M148" i="16"/>
  <c r="U147" i="16"/>
  <c r="T147" i="16"/>
  <c r="S147" i="16"/>
  <c r="R147" i="16"/>
  <c r="Q147" i="16"/>
  <c r="P147" i="16"/>
  <c r="M147" i="16"/>
  <c r="U146" i="16"/>
  <c r="T146" i="16"/>
  <c r="S146" i="16"/>
  <c r="R146" i="16"/>
  <c r="Q146" i="16"/>
  <c r="P146" i="16"/>
  <c r="M146" i="16"/>
  <c r="U145" i="16"/>
  <c r="T145" i="16"/>
  <c r="S145" i="16"/>
  <c r="R145" i="16"/>
  <c r="Q145" i="16"/>
  <c r="P145" i="16"/>
  <c r="M145" i="16"/>
  <c r="U144" i="16"/>
  <c r="T144" i="16"/>
  <c r="S144" i="16"/>
  <c r="R144" i="16"/>
  <c r="Q144" i="16"/>
  <c r="P144" i="16"/>
  <c r="M144" i="16"/>
  <c r="U143" i="16"/>
  <c r="T143" i="16"/>
  <c r="S143" i="16"/>
  <c r="R143" i="16"/>
  <c r="Q143" i="16"/>
  <c r="P143" i="16"/>
  <c r="M143" i="16"/>
  <c r="U142" i="16"/>
  <c r="T142" i="16"/>
  <c r="S142" i="16"/>
  <c r="R142" i="16"/>
  <c r="Q142" i="16"/>
  <c r="P142" i="16"/>
  <c r="M142" i="16"/>
  <c r="U141" i="16"/>
  <c r="T141" i="16"/>
  <c r="S141" i="16"/>
  <c r="R141" i="16"/>
  <c r="Q141" i="16"/>
  <c r="P141" i="16"/>
  <c r="M141" i="16"/>
  <c r="U140" i="16"/>
  <c r="T140" i="16"/>
  <c r="S140" i="16"/>
  <c r="R140" i="16"/>
  <c r="Q140" i="16"/>
  <c r="P140" i="16"/>
  <c r="M140" i="16"/>
  <c r="U139" i="16"/>
  <c r="T139" i="16"/>
  <c r="S139" i="16"/>
  <c r="R139" i="16"/>
  <c r="Q139" i="16"/>
  <c r="P139" i="16"/>
  <c r="M139" i="16"/>
  <c r="U138" i="16"/>
  <c r="T138" i="16"/>
  <c r="S138" i="16"/>
  <c r="R138" i="16"/>
  <c r="Q138" i="16"/>
  <c r="P138" i="16"/>
  <c r="M138" i="16"/>
  <c r="U137" i="16"/>
  <c r="T137" i="16"/>
  <c r="S137" i="16"/>
  <c r="R137" i="16"/>
  <c r="Q137" i="16"/>
  <c r="P137" i="16"/>
  <c r="M137" i="16"/>
  <c r="U136" i="16"/>
  <c r="T136" i="16"/>
  <c r="S136" i="16"/>
  <c r="R136" i="16"/>
  <c r="Q136" i="16"/>
  <c r="P136" i="16"/>
  <c r="M136" i="16"/>
  <c r="U135" i="16"/>
  <c r="T135" i="16"/>
  <c r="S135" i="16"/>
  <c r="R135" i="16"/>
  <c r="Q135" i="16"/>
  <c r="P135" i="16"/>
  <c r="M135" i="16"/>
  <c r="U134" i="16"/>
  <c r="T134" i="16"/>
  <c r="S134" i="16"/>
  <c r="R134" i="16"/>
  <c r="Q134" i="16"/>
  <c r="P134" i="16"/>
  <c r="M134" i="16"/>
  <c r="U133" i="16"/>
  <c r="T133" i="16"/>
  <c r="S133" i="16"/>
  <c r="R133" i="16"/>
  <c r="Q133" i="16"/>
  <c r="P133" i="16"/>
  <c r="M133" i="16"/>
  <c r="U132" i="16"/>
  <c r="T132" i="16"/>
  <c r="S132" i="16"/>
  <c r="R132" i="16"/>
  <c r="Q132" i="16"/>
  <c r="P132" i="16"/>
  <c r="M132" i="16"/>
  <c r="U131" i="16"/>
  <c r="T131" i="16"/>
  <c r="S131" i="16"/>
  <c r="R131" i="16"/>
  <c r="Q131" i="16"/>
  <c r="P131" i="16"/>
  <c r="M131" i="16"/>
  <c r="U130" i="16"/>
  <c r="T130" i="16"/>
  <c r="S130" i="16"/>
  <c r="R130" i="16"/>
  <c r="Q130" i="16"/>
  <c r="P130" i="16"/>
  <c r="M130" i="16"/>
  <c r="U129" i="16"/>
  <c r="T129" i="16"/>
  <c r="S129" i="16"/>
  <c r="R129" i="16"/>
  <c r="Q129" i="16"/>
  <c r="P129" i="16"/>
  <c r="M129" i="16"/>
  <c r="U128" i="16"/>
  <c r="T128" i="16"/>
  <c r="S128" i="16"/>
  <c r="R128" i="16"/>
  <c r="Q128" i="16"/>
  <c r="P128" i="16"/>
  <c r="M128" i="16"/>
  <c r="U127" i="16"/>
  <c r="T127" i="16"/>
  <c r="S127" i="16"/>
  <c r="R127" i="16"/>
  <c r="Q127" i="16"/>
  <c r="P127" i="16"/>
  <c r="M127" i="16"/>
  <c r="U126" i="16"/>
  <c r="T126" i="16"/>
  <c r="S126" i="16"/>
  <c r="R126" i="16"/>
  <c r="Q126" i="16"/>
  <c r="P126" i="16"/>
  <c r="M126" i="16"/>
  <c r="U125" i="16"/>
  <c r="T125" i="16"/>
  <c r="S125" i="16"/>
  <c r="R125" i="16"/>
  <c r="Q125" i="16"/>
  <c r="P125" i="16"/>
  <c r="M125" i="16"/>
  <c r="U124" i="16"/>
  <c r="T124" i="16"/>
  <c r="S124" i="16"/>
  <c r="R124" i="16"/>
  <c r="Q124" i="16"/>
  <c r="P124" i="16"/>
  <c r="M124" i="16"/>
  <c r="U123" i="16"/>
  <c r="T123" i="16"/>
  <c r="S123" i="16"/>
  <c r="R123" i="16"/>
  <c r="Q123" i="16"/>
  <c r="P123" i="16"/>
  <c r="M123" i="16"/>
  <c r="U122" i="16"/>
  <c r="T122" i="16"/>
  <c r="S122" i="16"/>
  <c r="R122" i="16"/>
  <c r="Q122" i="16"/>
  <c r="P122" i="16"/>
  <c r="M122" i="16"/>
  <c r="U121" i="16"/>
  <c r="T121" i="16"/>
  <c r="S121" i="16"/>
  <c r="R121" i="16"/>
  <c r="Q121" i="16"/>
  <c r="P121" i="16"/>
  <c r="M121" i="16"/>
  <c r="U120" i="16"/>
  <c r="T120" i="16"/>
  <c r="S120" i="16"/>
  <c r="R120" i="16"/>
  <c r="Q120" i="16"/>
  <c r="P120" i="16"/>
  <c r="M120" i="16"/>
  <c r="U119" i="16"/>
  <c r="T119" i="16"/>
  <c r="S119" i="16"/>
  <c r="R119" i="16"/>
  <c r="Q119" i="16"/>
  <c r="P119" i="16"/>
  <c r="M119" i="16"/>
  <c r="U118" i="16"/>
  <c r="T118" i="16"/>
  <c r="S118" i="16"/>
  <c r="R118" i="16"/>
  <c r="Q118" i="16"/>
  <c r="P118" i="16"/>
  <c r="M118" i="16"/>
  <c r="U117" i="16"/>
  <c r="T117" i="16"/>
  <c r="S117" i="16"/>
  <c r="R117" i="16"/>
  <c r="Q117" i="16"/>
  <c r="P117" i="16"/>
  <c r="M117" i="16"/>
  <c r="U116" i="16"/>
  <c r="T116" i="16"/>
  <c r="S116" i="16"/>
  <c r="R116" i="16"/>
  <c r="Q116" i="16"/>
  <c r="P116" i="16"/>
  <c r="M116" i="16"/>
  <c r="U115" i="16"/>
  <c r="T115" i="16"/>
  <c r="S115" i="16"/>
  <c r="R115" i="16"/>
  <c r="Q115" i="16"/>
  <c r="P115" i="16"/>
  <c r="M115" i="16"/>
  <c r="U114" i="16"/>
  <c r="T114" i="16"/>
  <c r="S114" i="16"/>
  <c r="R114" i="16"/>
  <c r="Q114" i="16"/>
  <c r="P114" i="16"/>
  <c r="M114" i="16"/>
  <c r="U113" i="16"/>
  <c r="T113" i="16"/>
  <c r="S113" i="16"/>
  <c r="R113" i="16"/>
  <c r="Q113" i="16"/>
  <c r="P113" i="16"/>
  <c r="M113" i="16"/>
  <c r="U112" i="16"/>
  <c r="T112" i="16"/>
  <c r="S112" i="16"/>
  <c r="R112" i="16"/>
  <c r="Q112" i="16"/>
  <c r="P112" i="16"/>
  <c r="M112" i="16"/>
  <c r="U111" i="16"/>
  <c r="T111" i="16"/>
  <c r="S111" i="16"/>
  <c r="R111" i="16"/>
  <c r="Q111" i="16"/>
  <c r="P111" i="16"/>
  <c r="M111" i="16"/>
  <c r="U110" i="16"/>
  <c r="T110" i="16"/>
  <c r="S110" i="16"/>
  <c r="R110" i="16"/>
  <c r="Q110" i="16"/>
  <c r="P110" i="16"/>
  <c r="M110" i="16"/>
  <c r="U109" i="16"/>
  <c r="T109" i="16"/>
  <c r="S109" i="16"/>
  <c r="R109" i="16"/>
  <c r="Q109" i="16"/>
  <c r="P109" i="16"/>
  <c r="M109" i="16"/>
  <c r="U108" i="16"/>
  <c r="T108" i="16"/>
  <c r="S108" i="16"/>
  <c r="R108" i="16"/>
  <c r="Q108" i="16"/>
  <c r="P108" i="16"/>
  <c r="M108" i="16"/>
  <c r="U107" i="16"/>
  <c r="T107" i="16"/>
  <c r="S107" i="16"/>
  <c r="R107" i="16"/>
  <c r="Q107" i="16"/>
  <c r="P107" i="16"/>
  <c r="M107" i="16"/>
  <c r="U106" i="16"/>
  <c r="T106" i="16"/>
  <c r="S106" i="16"/>
  <c r="R106" i="16"/>
  <c r="Q106" i="16"/>
  <c r="P106" i="16"/>
  <c r="M106" i="16"/>
  <c r="U105" i="16"/>
  <c r="T105" i="16"/>
  <c r="S105" i="16"/>
  <c r="R105" i="16"/>
  <c r="Q105" i="16"/>
  <c r="P105" i="16"/>
  <c r="M105" i="16"/>
  <c r="U104" i="16"/>
  <c r="T104" i="16"/>
  <c r="S104" i="16"/>
  <c r="R104" i="16"/>
  <c r="Q104" i="16"/>
  <c r="P104" i="16"/>
  <c r="M104" i="16"/>
  <c r="U103" i="16"/>
  <c r="T103" i="16"/>
  <c r="S103" i="16"/>
  <c r="R103" i="16"/>
  <c r="Q103" i="16"/>
  <c r="P103" i="16"/>
  <c r="M103" i="16"/>
  <c r="U102" i="16"/>
  <c r="T102" i="16"/>
  <c r="S102" i="16"/>
  <c r="R102" i="16"/>
  <c r="Q102" i="16"/>
  <c r="P102" i="16"/>
  <c r="M102" i="16"/>
  <c r="U101" i="16"/>
  <c r="T101" i="16"/>
  <c r="S101" i="16"/>
  <c r="R101" i="16"/>
  <c r="Q101" i="16"/>
  <c r="P101" i="16"/>
  <c r="M101" i="16"/>
  <c r="U100" i="16"/>
  <c r="T100" i="16"/>
  <c r="S100" i="16"/>
  <c r="R100" i="16"/>
  <c r="Q100" i="16"/>
  <c r="P100" i="16"/>
  <c r="M100" i="16"/>
  <c r="U99" i="16"/>
  <c r="T99" i="16"/>
  <c r="S99" i="16"/>
  <c r="R99" i="16"/>
  <c r="Q99" i="16"/>
  <c r="P99" i="16"/>
  <c r="M99" i="16"/>
  <c r="U98" i="16"/>
  <c r="T98" i="16"/>
  <c r="S98" i="16"/>
  <c r="R98" i="16"/>
  <c r="Q98" i="16"/>
  <c r="P98" i="16"/>
  <c r="M98" i="16"/>
  <c r="U97" i="16"/>
  <c r="T97" i="16"/>
  <c r="S97" i="16"/>
  <c r="R97" i="16"/>
  <c r="Q97" i="16"/>
  <c r="P97" i="16"/>
  <c r="M97" i="16"/>
  <c r="U96" i="16"/>
  <c r="T96" i="16"/>
  <c r="S96" i="16"/>
  <c r="R96" i="16"/>
  <c r="Q96" i="16"/>
  <c r="P96" i="16"/>
  <c r="M96" i="16"/>
  <c r="U95" i="16"/>
  <c r="T95" i="16"/>
  <c r="S95" i="16"/>
  <c r="R95" i="16"/>
  <c r="Q95" i="16"/>
  <c r="P95" i="16"/>
  <c r="M95" i="16"/>
  <c r="U94" i="16"/>
  <c r="T94" i="16"/>
  <c r="S94" i="16"/>
  <c r="R94" i="16"/>
  <c r="Q94" i="16"/>
  <c r="P94" i="16"/>
  <c r="M94" i="16"/>
  <c r="U93" i="16"/>
  <c r="T93" i="16"/>
  <c r="S93" i="16"/>
  <c r="R93" i="16"/>
  <c r="Q93" i="16"/>
  <c r="P93" i="16"/>
  <c r="M93" i="16"/>
  <c r="U92" i="16"/>
  <c r="T92" i="16"/>
  <c r="S92" i="16"/>
  <c r="R92" i="16"/>
  <c r="Q92" i="16"/>
  <c r="P92" i="16"/>
  <c r="M92" i="16"/>
  <c r="U91" i="16"/>
  <c r="T91" i="16"/>
  <c r="S91" i="16"/>
  <c r="R91" i="16"/>
  <c r="Q91" i="16"/>
  <c r="P91" i="16"/>
  <c r="M91" i="16"/>
  <c r="U90" i="16"/>
  <c r="T90" i="16"/>
  <c r="S90" i="16"/>
  <c r="R90" i="16"/>
  <c r="Q90" i="16"/>
  <c r="P90" i="16"/>
  <c r="M90" i="16"/>
  <c r="U89" i="16"/>
  <c r="T89" i="16"/>
  <c r="S89" i="16"/>
  <c r="R89" i="16"/>
  <c r="Q89" i="16"/>
  <c r="P89" i="16"/>
  <c r="M89" i="16"/>
  <c r="U88" i="16"/>
  <c r="T88" i="16"/>
  <c r="S88" i="16"/>
  <c r="R88" i="16"/>
  <c r="Q88" i="16"/>
  <c r="P88" i="16"/>
  <c r="M88" i="16"/>
  <c r="U87" i="16"/>
  <c r="T87" i="16"/>
  <c r="S87" i="16"/>
  <c r="R87" i="16"/>
  <c r="Q87" i="16"/>
  <c r="P87" i="16"/>
  <c r="M87" i="16"/>
  <c r="U86" i="16"/>
  <c r="T86" i="16"/>
  <c r="S86" i="16"/>
  <c r="R86" i="16"/>
  <c r="Q86" i="16"/>
  <c r="P86" i="16"/>
  <c r="M86" i="16"/>
  <c r="U85" i="16"/>
  <c r="T85" i="16"/>
  <c r="S85" i="16"/>
  <c r="R85" i="16"/>
  <c r="Q85" i="16"/>
  <c r="P85" i="16"/>
  <c r="M85" i="16"/>
  <c r="U84" i="16"/>
  <c r="T84" i="16"/>
  <c r="S84" i="16"/>
  <c r="R84" i="16"/>
  <c r="Q84" i="16"/>
  <c r="P84" i="16"/>
  <c r="M84" i="16"/>
  <c r="U83" i="16"/>
  <c r="T83" i="16"/>
  <c r="S83" i="16"/>
  <c r="R83" i="16"/>
  <c r="Q83" i="16"/>
  <c r="P83" i="16"/>
  <c r="M83" i="16"/>
  <c r="U82" i="16"/>
  <c r="T82" i="16"/>
  <c r="S82" i="16"/>
  <c r="R82" i="16"/>
  <c r="Q82" i="16"/>
  <c r="P82" i="16"/>
  <c r="M82" i="16"/>
  <c r="U81" i="16"/>
  <c r="T81" i="16"/>
  <c r="S81" i="16"/>
  <c r="R81" i="16"/>
  <c r="Q81" i="16"/>
  <c r="P81" i="16"/>
  <c r="M81" i="16"/>
  <c r="U80" i="16"/>
  <c r="T80" i="16"/>
  <c r="S80" i="16"/>
  <c r="R80" i="16"/>
  <c r="Q80" i="16"/>
  <c r="P80" i="16"/>
  <c r="M80" i="16"/>
  <c r="U79" i="16"/>
  <c r="T79" i="16"/>
  <c r="S79" i="16"/>
  <c r="R79" i="16"/>
  <c r="Q79" i="16"/>
  <c r="P79" i="16"/>
  <c r="M79" i="16"/>
  <c r="U78" i="16"/>
  <c r="T78" i="16"/>
  <c r="S78" i="16"/>
  <c r="R78" i="16"/>
  <c r="Q78" i="16"/>
  <c r="P78" i="16"/>
  <c r="M78" i="16"/>
  <c r="U77" i="16"/>
  <c r="T77" i="16"/>
  <c r="S77" i="16"/>
  <c r="R77" i="16"/>
  <c r="Q77" i="16"/>
  <c r="P77" i="16"/>
  <c r="M77" i="16"/>
  <c r="U76" i="16"/>
  <c r="T76" i="16"/>
  <c r="S76" i="16"/>
  <c r="R76" i="16"/>
  <c r="Q76" i="16"/>
  <c r="P76" i="16"/>
  <c r="M76" i="16"/>
  <c r="U75" i="16"/>
  <c r="T75" i="16"/>
  <c r="S75" i="16"/>
  <c r="R75" i="16"/>
  <c r="Q75" i="16"/>
  <c r="P75" i="16"/>
  <c r="M75" i="16"/>
  <c r="U74" i="16"/>
  <c r="T74" i="16"/>
  <c r="S74" i="16"/>
  <c r="R74" i="16"/>
  <c r="Q74" i="16"/>
  <c r="P74" i="16"/>
  <c r="M74" i="16"/>
  <c r="U73" i="16"/>
  <c r="T73" i="16"/>
  <c r="S73" i="16"/>
  <c r="R73" i="16"/>
  <c r="Q73" i="16"/>
  <c r="P73" i="16"/>
  <c r="M73" i="16"/>
  <c r="U72" i="16"/>
  <c r="T72" i="16"/>
  <c r="S72" i="16"/>
  <c r="R72" i="16"/>
  <c r="Q72" i="16"/>
  <c r="P72" i="16"/>
  <c r="M72" i="16"/>
  <c r="U71" i="16"/>
  <c r="T71" i="16"/>
  <c r="S71" i="16"/>
  <c r="R71" i="16"/>
  <c r="Q71" i="16"/>
  <c r="P71" i="16"/>
  <c r="M71" i="16"/>
  <c r="U70" i="16"/>
  <c r="T70" i="16"/>
  <c r="S70" i="16"/>
  <c r="R70" i="16"/>
  <c r="Q70" i="16"/>
  <c r="P70" i="16"/>
  <c r="M70" i="16"/>
  <c r="U69" i="16"/>
  <c r="T69" i="16"/>
  <c r="S69" i="16"/>
  <c r="R69" i="16"/>
  <c r="Q69" i="16"/>
  <c r="P69" i="16"/>
  <c r="M69" i="16"/>
  <c r="U68" i="16"/>
  <c r="T68" i="16"/>
  <c r="S68" i="16"/>
  <c r="R68" i="16"/>
  <c r="Q68" i="16"/>
  <c r="P68" i="16"/>
  <c r="M68" i="16"/>
  <c r="U67" i="16"/>
  <c r="T67" i="16"/>
  <c r="S67" i="16"/>
  <c r="R67" i="16"/>
  <c r="Q67" i="16"/>
  <c r="P67" i="16"/>
  <c r="M67" i="16"/>
  <c r="U66" i="16"/>
  <c r="T66" i="16"/>
  <c r="S66" i="16"/>
  <c r="R66" i="16"/>
  <c r="Q66" i="16"/>
  <c r="P66" i="16"/>
  <c r="M66" i="16"/>
  <c r="U65" i="16"/>
  <c r="T65" i="16"/>
  <c r="S65" i="16"/>
  <c r="R65" i="16"/>
  <c r="Q65" i="16"/>
  <c r="P65" i="16"/>
  <c r="M65" i="16"/>
  <c r="U64" i="16"/>
  <c r="T64" i="16"/>
  <c r="S64" i="16"/>
  <c r="R64" i="16"/>
  <c r="Q64" i="16"/>
  <c r="P64" i="16"/>
  <c r="M64" i="16"/>
  <c r="U63" i="16"/>
  <c r="T63" i="16"/>
  <c r="S63" i="16"/>
  <c r="R63" i="16"/>
  <c r="Q63" i="16"/>
  <c r="P63" i="16"/>
  <c r="M63" i="16"/>
  <c r="U62" i="16"/>
  <c r="T62" i="16"/>
  <c r="S62" i="16"/>
  <c r="R62" i="16"/>
  <c r="Q62" i="16"/>
  <c r="P62" i="16"/>
  <c r="M62" i="16"/>
  <c r="U61" i="16"/>
  <c r="T61" i="16"/>
  <c r="S61" i="16"/>
  <c r="R61" i="16"/>
  <c r="Q61" i="16"/>
  <c r="P61" i="16"/>
  <c r="M61" i="16"/>
  <c r="U60" i="16"/>
  <c r="T60" i="16"/>
  <c r="S60" i="16"/>
  <c r="R60" i="16"/>
  <c r="Q60" i="16"/>
  <c r="P60" i="16"/>
  <c r="M60" i="16"/>
  <c r="U59" i="16"/>
  <c r="T59" i="16"/>
  <c r="S59" i="16"/>
  <c r="R59" i="16"/>
  <c r="Q59" i="16"/>
  <c r="P59" i="16"/>
  <c r="M59" i="16"/>
  <c r="U58" i="16"/>
  <c r="T58" i="16"/>
  <c r="S58" i="16"/>
  <c r="R58" i="16"/>
  <c r="Q58" i="16"/>
  <c r="P58" i="16"/>
  <c r="M58" i="16"/>
  <c r="U57" i="16"/>
  <c r="T57" i="16"/>
  <c r="S57" i="16"/>
  <c r="R57" i="16"/>
  <c r="Q57" i="16"/>
  <c r="P57" i="16"/>
  <c r="M57" i="16"/>
  <c r="U56" i="16"/>
  <c r="T56" i="16"/>
  <c r="S56" i="16"/>
  <c r="R56" i="16"/>
  <c r="Q56" i="16"/>
  <c r="P56" i="16"/>
  <c r="M56" i="16"/>
  <c r="U55" i="16"/>
  <c r="T55" i="16"/>
  <c r="S55" i="16"/>
  <c r="R55" i="16"/>
  <c r="Q55" i="16"/>
  <c r="P55" i="16"/>
  <c r="M55" i="16"/>
  <c r="U54" i="16"/>
  <c r="T54" i="16"/>
  <c r="S54" i="16"/>
  <c r="R54" i="16"/>
  <c r="Q54" i="16"/>
  <c r="P54" i="16"/>
  <c r="M54" i="16"/>
  <c r="U53" i="16"/>
  <c r="T53" i="16"/>
  <c r="S53" i="16"/>
  <c r="R53" i="16"/>
  <c r="Q53" i="16"/>
  <c r="P53" i="16"/>
  <c r="M53" i="16"/>
  <c r="U52" i="16"/>
  <c r="T52" i="16"/>
  <c r="S52" i="16"/>
  <c r="R52" i="16"/>
  <c r="Q52" i="16"/>
  <c r="P52" i="16"/>
  <c r="M52" i="16"/>
  <c r="U51" i="16"/>
  <c r="T51" i="16"/>
  <c r="S51" i="16"/>
  <c r="R51" i="16"/>
  <c r="Q51" i="16"/>
  <c r="P51" i="16"/>
  <c r="M51" i="16"/>
  <c r="U50" i="16"/>
  <c r="T50" i="16"/>
  <c r="S50" i="16"/>
  <c r="R50" i="16"/>
  <c r="Q50" i="16"/>
  <c r="P50" i="16"/>
  <c r="M50" i="16"/>
  <c r="U49" i="16"/>
  <c r="T49" i="16"/>
  <c r="S49" i="16"/>
  <c r="R49" i="16"/>
  <c r="Q49" i="16"/>
  <c r="P49" i="16"/>
  <c r="M49" i="16"/>
  <c r="U48" i="16"/>
  <c r="T48" i="16"/>
  <c r="S48" i="16"/>
  <c r="R48" i="16"/>
  <c r="Q48" i="16"/>
  <c r="P48" i="16"/>
  <c r="M48" i="16"/>
  <c r="U47" i="16"/>
  <c r="T47" i="16"/>
  <c r="S47" i="16"/>
  <c r="R47" i="16"/>
  <c r="Q47" i="16"/>
  <c r="P47" i="16"/>
  <c r="M47" i="16"/>
  <c r="U46" i="16"/>
  <c r="T46" i="16"/>
  <c r="S46" i="16"/>
  <c r="R46" i="16"/>
  <c r="Q46" i="16"/>
  <c r="P46" i="16"/>
  <c r="M46" i="16"/>
  <c r="U45" i="16"/>
  <c r="T45" i="16"/>
  <c r="S45" i="16"/>
  <c r="R45" i="16"/>
  <c r="Q45" i="16"/>
  <c r="P45" i="16"/>
  <c r="M45" i="16"/>
  <c r="U44" i="16"/>
  <c r="T44" i="16"/>
  <c r="S44" i="16"/>
  <c r="R44" i="16"/>
  <c r="Q44" i="16"/>
  <c r="P44" i="16"/>
  <c r="M44" i="16"/>
  <c r="U43" i="16"/>
  <c r="T43" i="16"/>
  <c r="S43" i="16"/>
  <c r="R43" i="16"/>
  <c r="Q43" i="16"/>
  <c r="P43" i="16"/>
  <c r="M43" i="16"/>
  <c r="U42" i="16"/>
  <c r="T42" i="16"/>
  <c r="S42" i="16"/>
  <c r="R42" i="16"/>
  <c r="Q42" i="16"/>
  <c r="P42" i="16"/>
  <c r="M42" i="16"/>
  <c r="U41" i="16"/>
  <c r="T41" i="16"/>
  <c r="S41" i="16"/>
  <c r="R41" i="16"/>
  <c r="Q41" i="16"/>
  <c r="P41" i="16"/>
  <c r="M41" i="16"/>
  <c r="U40" i="16"/>
  <c r="T40" i="16"/>
  <c r="S40" i="16"/>
  <c r="R40" i="16"/>
  <c r="Q40" i="16"/>
  <c r="P40" i="16"/>
  <c r="M40" i="16"/>
  <c r="U39" i="16"/>
  <c r="T39" i="16"/>
  <c r="S39" i="16"/>
  <c r="R39" i="16"/>
  <c r="Q39" i="16"/>
  <c r="P39" i="16"/>
  <c r="M39" i="16"/>
  <c r="U38" i="16"/>
  <c r="T38" i="16"/>
  <c r="S38" i="16"/>
  <c r="R38" i="16"/>
  <c r="Q38" i="16"/>
  <c r="P38" i="16"/>
  <c r="M38" i="16"/>
  <c r="U37" i="16"/>
  <c r="T37" i="16"/>
  <c r="S37" i="16"/>
  <c r="R37" i="16"/>
  <c r="Q37" i="16"/>
  <c r="P37" i="16"/>
  <c r="M37" i="16"/>
  <c r="U36" i="16"/>
  <c r="T36" i="16"/>
  <c r="S36" i="16"/>
  <c r="R36" i="16"/>
  <c r="Q36" i="16"/>
  <c r="P36" i="16"/>
  <c r="M36" i="16"/>
  <c r="U35" i="16"/>
  <c r="T35" i="16"/>
  <c r="S35" i="16"/>
  <c r="R35" i="16"/>
  <c r="Q35" i="16"/>
  <c r="P35" i="16"/>
  <c r="M35" i="16"/>
  <c r="U34" i="16"/>
  <c r="T34" i="16"/>
  <c r="S34" i="16"/>
  <c r="R34" i="16"/>
  <c r="Q34" i="16"/>
  <c r="P34" i="16"/>
  <c r="M34" i="16"/>
  <c r="U33" i="16"/>
  <c r="T33" i="16"/>
  <c r="S33" i="16"/>
  <c r="R33" i="16"/>
  <c r="Q33" i="16"/>
  <c r="P33" i="16"/>
  <c r="M33" i="16"/>
  <c r="U32" i="16"/>
  <c r="T32" i="16"/>
  <c r="S32" i="16"/>
  <c r="R32" i="16"/>
  <c r="Q32" i="16"/>
  <c r="P32" i="16"/>
  <c r="M32" i="16"/>
  <c r="U31" i="16"/>
  <c r="T31" i="16"/>
  <c r="S31" i="16"/>
  <c r="R31" i="16"/>
  <c r="Q31" i="16"/>
  <c r="P31" i="16"/>
  <c r="M31" i="16"/>
  <c r="U30" i="16"/>
  <c r="T30" i="16"/>
  <c r="S30" i="16"/>
  <c r="R30" i="16"/>
  <c r="Q30" i="16"/>
  <c r="P30" i="16"/>
  <c r="M30" i="16"/>
  <c r="U29" i="16"/>
  <c r="T29" i="16"/>
  <c r="S29" i="16"/>
  <c r="R29" i="16"/>
  <c r="Q29" i="16"/>
  <c r="P29" i="16"/>
  <c r="M29" i="16"/>
  <c r="U28" i="16"/>
  <c r="T28" i="16"/>
  <c r="S28" i="16"/>
  <c r="R28" i="16"/>
  <c r="Q28" i="16"/>
  <c r="P28" i="16"/>
  <c r="M28" i="16"/>
  <c r="U27" i="16"/>
  <c r="T27" i="16"/>
  <c r="S27" i="16"/>
  <c r="R27" i="16"/>
  <c r="Q27" i="16"/>
  <c r="P27" i="16"/>
  <c r="M27" i="16"/>
  <c r="U26" i="16"/>
  <c r="T26" i="16"/>
  <c r="S26" i="16"/>
  <c r="R26" i="16"/>
  <c r="Q26" i="16"/>
  <c r="P26" i="16"/>
  <c r="M26" i="16"/>
  <c r="U25" i="16"/>
  <c r="T25" i="16"/>
  <c r="S25" i="16"/>
  <c r="R25" i="16"/>
  <c r="Q25" i="16"/>
  <c r="P25" i="16"/>
  <c r="M25" i="16"/>
  <c r="U24" i="16"/>
  <c r="T24" i="16"/>
  <c r="S24" i="16"/>
  <c r="R24" i="16"/>
  <c r="Q24" i="16"/>
  <c r="P24" i="16"/>
  <c r="M24" i="16"/>
  <c r="U23" i="16"/>
  <c r="T23" i="16"/>
  <c r="S23" i="16"/>
  <c r="R23" i="16"/>
  <c r="Q23" i="16"/>
  <c r="P23" i="16"/>
  <c r="M23" i="16"/>
  <c r="U22" i="16"/>
  <c r="T22" i="16"/>
  <c r="S22" i="16"/>
  <c r="R22" i="16"/>
  <c r="Q22" i="16"/>
  <c r="P22" i="16"/>
  <c r="M22" i="16"/>
  <c r="U21" i="16"/>
  <c r="T21" i="16"/>
  <c r="S21" i="16"/>
  <c r="R21" i="16"/>
  <c r="Q21" i="16"/>
  <c r="P21" i="16"/>
  <c r="M21" i="16"/>
  <c r="U20" i="16"/>
  <c r="T20" i="16"/>
  <c r="S20" i="16"/>
  <c r="R20" i="16"/>
  <c r="Q20" i="16"/>
  <c r="P20" i="16"/>
  <c r="M20" i="16"/>
  <c r="U19" i="16"/>
  <c r="T19" i="16"/>
  <c r="S19" i="16"/>
  <c r="R19" i="16"/>
  <c r="Q19" i="16"/>
  <c r="P19" i="16"/>
  <c r="M19" i="16"/>
  <c r="U18" i="16"/>
  <c r="T18" i="16"/>
  <c r="S18" i="16"/>
  <c r="R18" i="16"/>
  <c r="Q18" i="16"/>
  <c r="P18" i="16"/>
  <c r="M18" i="16"/>
  <c r="U17" i="16"/>
  <c r="T17" i="16"/>
  <c r="S17" i="16"/>
  <c r="R17" i="16"/>
  <c r="Q17" i="16"/>
  <c r="P17" i="16"/>
  <c r="M17" i="16"/>
  <c r="U16" i="16"/>
  <c r="T16" i="16"/>
  <c r="S16" i="16"/>
  <c r="R16" i="16"/>
  <c r="Q16" i="16"/>
  <c r="P16" i="16"/>
  <c r="M16" i="16"/>
  <c r="U15" i="16"/>
  <c r="T15" i="16"/>
  <c r="S15" i="16"/>
  <c r="R15" i="16"/>
  <c r="Q15" i="16"/>
  <c r="P15" i="16"/>
  <c r="M15" i="16"/>
  <c r="U14" i="16"/>
  <c r="T14" i="16"/>
  <c r="S14" i="16"/>
  <c r="R14" i="16"/>
  <c r="Q14" i="16"/>
  <c r="P14" i="16"/>
  <c r="M14" i="16"/>
  <c r="U13" i="16"/>
  <c r="T13" i="16"/>
  <c r="S13" i="16"/>
  <c r="R13" i="16"/>
  <c r="Q13" i="16"/>
  <c r="P13" i="16"/>
  <c r="M13" i="16"/>
  <c r="U12" i="16"/>
  <c r="T12" i="16"/>
  <c r="S12" i="16"/>
  <c r="R12" i="16"/>
  <c r="Q12" i="16"/>
  <c r="P12" i="16"/>
  <c r="M12" i="16"/>
  <c r="U11" i="16"/>
  <c r="T11" i="16"/>
  <c r="S11" i="16"/>
  <c r="R11" i="16"/>
  <c r="Q11" i="16"/>
  <c r="P11" i="16"/>
  <c r="M11" i="16"/>
  <c r="U10" i="16"/>
  <c r="T10" i="16"/>
  <c r="S10" i="16"/>
  <c r="R10" i="16"/>
  <c r="Q10" i="16"/>
  <c r="P10" i="16"/>
  <c r="M10" i="16"/>
  <c r="U9" i="16"/>
  <c r="T9" i="16"/>
  <c r="S9" i="16"/>
  <c r="R9" i="16"/>
  <c r="Q9" i="16"/>
  <c r="P9" i="16"/>
  <c r="M9" i="16"/>
  <c r="U8" i="16"/>
  <c r="T8" i="16"/>
  <c r="S8" i="16"/>
  <c r="R8" i="16"/>
  <c r="Q8" i="16"/>
  <c r="P8" i="16"/>
  <c r="M8" i="16"/>
  <c r="U7" i="16"/>
  <c r="T7" i="16"/>
  <c r="S7" i="16"/>
  <c r="R7" i="16"/>
  <c r="Q7" i="16"/>
  <c r="P7" i="16"/>
  <c r="M7" i="16"/>
  <c r="U6" i="16"/>
  <c r="T6" i="16"/>
  <c r="S6" i="16"/>
  <c r="R6" i="16"/>
  <c r="Q6" i="16"/>
  <c r="P6" i="16"/>
  <c r="O6" i="16"/>
  <c r="M6" i="16"/>
  <c r="L6" i="16"/>
  <c r="K6" i="16"/>
  <c r="U5" i="16"/>
  <c r="T5" i="16"/>
  <c r="S5" i="16"/>
  <c r="R5" i="16"/>
  <c r="Q5" i="16"/>
  <c r="P5" i="16"/>
  <c r="O5" i="16"/>
  <c r="M5" i="16"/>
  <c r="L5" i="16"/>
  <c r="K5" i="16"/>
  <c r="U4" i="16"/>
  <c r="T4" i="16"/>
  <c r="S4" i="16"/>
  <c r="R4" i="16"/>
  <c r="Q4" i="16"/>
  <c r="P4" i="16"/>
  <c r="O4" i="16"/>
  <c r="M4" i="16"/>
  <c r="L4" i="16"/>
  <c r="K4" i="16"/>
  <c r="U3" i="16"/>
  <c r="T3" i="16"/>
  <c r="S3" i="16"/>
  <c r="R3" i="16"/>
  <c r="Q3" i="16"/>
  <c r="P3" i="16"/>
  <c r="O3" i="16"/>
  <c r="M3" i="16"/>
  <c r="L3" i="16"/>
  <c r="K3" i="16"/>
  <c r="U2" i="16"/>
  <c r="T2" i="16"/>
  <c r="S2" i="16"/>
  <c r="R2" i="16"/>
  <c r="Q2" i="16"/>
  <c r="P2" i="16"/>
  <c r="O2" i="16"/>
  <c r="M2" i="16"/>
  <c r="L2" i="16"/>
  <c r="K2" i="16"/>
  <c r="Q2" i="14"/>
  <c r="U151" i="14"/>
  <c r="T151" i="14"/>
  <c r="S151" i="14"/>
  <c r="R151" i="14"/>
  <c r="Q151" i="14"/>
  <c r="P151" i="14"/>
  <c r="M151" i="14"/>
  <c r="U150" i="14"/>
  <c r="T150" i="14"/>
  <c r="S150" i="14"/>
  <c r="R150" i="14"/>
  <c r="Q150" i="14"/>
  <c r="P150" i="14"/>
  <c r="M150" i="14"/>
  <c r="U149" i="14"/>
  <c r="T149" i="14"/>
  <c r="S149" i="14"/>
  <c r="R149" i="14"/>
  <c r="Q149" i="14"/>
  <c r="P149" i="14"/>
  <c r="M149" i="14"/>
  <c r="U148" i="14"/>
  <c r="T148" i="14"/>
  <c r="S148" i="14"/>
  <c r="R148" i="14"/>
  <c r="Q148" i="14"/>
  <c r="P148" i="14"/>
  <c r="M148" i="14"/>
  <c r="U147" i="14"/>
  <c r="T147" i="14"/>
  <c r="S147" i="14"/>
  <c r="R147" i="14"/>
  <c r="Q147" i="14"/>
  <c r="P147" i="14"/>
  <c r="M147" i="14"/>
  <c r="U146" i="14"/>
  <c r="T146" i="14"/>
  <c r="S146" i="14"/>
  <c r="R146" i="14"/>
  <c r="Q146" i="14"/>
  <c r="P146" i="14"/>
  <c r="M146" i="14"/>
  <c r="U145" i="14"/>
  <c r="T145" i="14"/>
  <c r="S145" i="14"/>
  <c r="R145" i="14"/>
  <c r="Q145" i="14"/>
  <c r="P145" i="14"/>
  <c r="M145" i="14"/>
  <c r="U144" i="14"/>
  <c r="T144" i="14"/>
  <c r="S144" i="14"/>
  <c r="R144" i="14"/>
  <c r="Q144" i="14"/>
  <c r="P144" i="14"/>
  <c r="M144" i="14"/>
  <c r="U143" i="14"/>
  <c r="T143" i="14"/>
  <c r="S143" i="14"/>
  <c r="R143" i="14"/>
  <c r="Q143" i="14"/>
  <c r="P143" i="14"/>
  <c r="M143" i="14"/>
  <c r="U142" i="14"/>
  <c r="T142" i="14"/>
  <c r="S142" i="14"/>
  <c r="R142" i="14"/>
  <c r="Q142" i="14"/>
  <c r="P142" i="14"/>
  <c r="M142" i="14"/>
  <c r="U141" i="14"/>
  <c r="T141" i="14"/>
  <c r="S141" i="14"/>
  <c r="R141" i="14"/>
  <c r="Q141" i="14"/>
  <c r="P141" i="14"/>
  <c r="M141" i="14"/>
  <c r="U140" i="14"/>
  <c r="T140" i="14"/>
  <c r="S140" i="14"/>
  <c r="R140" i="14"/>
  <c r="Q140" i="14"/>
  <c r="P140" i="14"/>
  <c r="M140" i="14"/>
  <c r="U139" i="14"/>
  <c r="T139" i="14"/>
  <c r="S139" i="14"/>
  <c r="R139" i="14"/>
  <c r="Q139" i="14"/>
  <c r="P139" i="14"/>
  <c r="M139" i="14"/>
  <c r="U138" i="14"/>
  <c r="T138" i="14"/>
  <c r="S138" i="14"/>
  <c r="R138" i="14"/>
  <c r="Q138" i="14"/>
  <c r="P138" i="14"/>
  <c r="M138" i="14"/>
  <c r="U137" i="14"/>
  <c r="T137" i="14"/>
  <c r="S137" i="14"/>
  <c r="R137" i="14"/>
  <c r="Q137" i="14"/>
  <c r="P137" i="14"/>
  <c r="M137" i="14"/>
  <c r="U136" i="14"/>
  <c r="T136" i="14"/>
  <c r="S136" i="14"/>
  <c r="R136" i="14"/>
  <c r="Q136" i="14"/>
  <c r="P136" i="14"/>
  <c r="M136" i="14"/>
  <c r="U135" i="14"/>
  <c r="T135" i="14"/>
  <c r="S135" i="14"/>
  <c r="R135" i="14"/>
  <c r="Q135" i="14"/>
  <c r="P135" i="14"/>
  <c r="M135" i="14"/>
  <c r="U134" i="14"/>
  <c r="T134" i="14"/>
  <c r="S134" i="14"/>
  <c r="R134" i="14"/>
  <c r="Q134" i="14"/>
  <c r="P134" i="14"/>
  <c r="M134" i="14"/>
  <c r="U133" i="14"/>
  <c r="T133" i="14"/>
  <c r="S133" i="14"/>
  <c r="R133" i="14"/>
  <c r="Q133" i="14"/>
  <c r="P133" i="14"/>
  <c r="M133" i="14"/>
  <c r="U132" i="14"/>
  <c r="T132" i="14"/>
  <c r="S132" i="14"/>
  <c r="R132" i="14"/>
  <c r="Q132" i="14"/>
  <c r="P132" i="14"/>
  <c r="M132" i="14"/>
  <c r="U131" i="14"/>
  <c r="T131" i="14"/>
  <c r="S131" i="14"/>
  <c r="R131" i="14"/>
  <c r="Q131" i="14"/>
  <c r="P131" i="14"/>
  <c r="M131" i="14"/>
  <c r="U130" i="14"/>
  <c r="T130" i="14"/>
  <c r="S130" i="14"/>
  <c r="R130" i="14"/>
  <c r="Q130" i="14"/>
  <c r="P130" i="14"/>
  <c r="M130" i="14"/>
  <c r="U129" i="14"/>
  <c r="T129" i="14"/>
  <c r="S129" i="14"/>
  <c r="R129" i="14"/>
  <c r="Q129" i="14"/>
  <c r="P129" i="14"/>
  <c r="M129" i="14"/>
  <c r="U128" i="14"/>
  <c r="T128" i="14"/>
  <c r="S128" i="14"/>
  <c r="R128" i="14"/>
  <c r="Q128" i="14"/>
  <c r="P128" i="14"/>
  <c r="M128" i="14"/>
  <c r="U127" i="14"/>
  <c r="T127" i="14"/>
  <c r="S127" i="14"/>
  <c r="R127" i="14"/>
  <c r="Q127" i="14"/>
  <c r="P127" i="14"/>
  <c r="M127" i="14"/>
  <c r="U126" i="14"/>
  <c r="T126" i="14"/>
  <c r="S126" i="14"/>
  <c r="R126" i="14"/>
  <c r="Q126" i="14"/>
  <c r="P126" i="14"/>
  <c r="M126" i="14"/>
  <c r="U125" i="14"/>
  <c r="T125" i="14"/>
  <c r="S125" i="14"/>
  <c r="R125" i="14"/>
  <c r="Q125" i="14"/>
  <c r="P125" i="14"/>
  <c r="M125" i="14"/>
  <c r="U124" i="14"/>
  <c r="T124" i="14"/>
  <c r="S124" i="14"/>
  <c r="R124" i="14"/>
  <c r="Q124" i="14"/>
  <c r="P124" i="14"/>
  <c r="M124" i="14"/>
  <c r="U123" i="14"/>
  <c r="T123" i="14"/>
  <c r="S123" i="14"/>
  <c r="R123" i="14"/>
  <c r="Q123" i="14"/>
  <c r="P123" i="14"/>
  <c r="M123" i="14"/>
  <c r="U122" i="14"/>
  <c r="T122" i="14"/>
  <c r="S122" i="14"/>
  <c r="R122" i="14"/>
  <c r="Q122" i="14"/>
  <c r="P122" i="14"/>
  <c r="M122" i="14"/>
  <c r="U121" i="14"/>
  <c r="T121" i="14"/>
  <c r="S121" i="14"/>
  <c r="R121" i="14"/>
  <c r="Q121" i="14"/>
  <c r="P121" i="14"/>
  <c r="M121" i="14"/>
  <c r="U120" i="14"/>
  <c r="T120" i="14"/>
  <c r="S120" i="14"/>
  <c r="R120" i="14"/>
  <c r="Q120" i="14"/>
  <c r="P120" i="14"/>
  <c r="M120" i="14"/>
  <c r="U119" i="14"/>
  <c r="T119" i="14"/>
  <c r="S119" i="14"/>
  <c r="R119" i="14"/>
  <c r="Q119" i="14"/>
  <c r="P119" i="14"/>
  <c r="M119" i="14"/>
  <c r="U118" i="14"/>
  <c r="T118" i="14"/>
  <c r="S118" i="14"/>
  <c r="R118" i="14"/>
  <c r="Q118" i="14"/>
  <c r="P118" i="14"/>
  <c r="M118" i="14"/>
  <c r="U117" i="14"/>
  <c r="T117" i="14"/>
  <c r="S117" i="14"/>
  <c r="R117" i="14"/>
  <c r="Q117" i="14"/>
  <c r="P117" i="14"/>
  <c r="M117" i="14"/>
  <c r="U116" i="14"/>
  <c r="T116" i="14"/>
  <c r="S116" i="14"/>
  <c r="R116" i="14"/>
  <c r="Q116" i="14"/>
  <c r="P116" i="14"/>
  <c r="M116" i="14"/>
  <c r="U115" i="14"/>
  <c r="T115" i="14"/>
  <c r="S115" i="14"/>
  <c r="R115" i="14"/>
  <c r="Q115" i="14"/>
  <c r="P115" i="14"/>
  <c r="M115" i="14"/>
  <c r="U114" i="14"/>
  <c r="T114" i="14"/>
  <c r="S114" i="14"/>
  <c r="R114" i="14"/>
  <c r="Q114" i="14"/>
  <c r="P114" i="14"/>
  <c r="M114" i="14"/>
  <c r="U113" i="14"/>
  <c r="T113" i="14"/>
  <c r="S113" i="14"/>
  <c r="R113" i="14"/>
  <c r="Q113" i="14"/>
  <c r="P113" i="14"/>
  <c r="M113" i="14"/>
  <c r="U112" i="14"/>
  <c r="T112" i="14"/>
  <c r="S112" i="14"/>
  <c r="R112" i="14"/>
  <c r="Q112" i="14"/>
  <c r="P112" i="14"/>
  <c r="M112" i="14"/>
  <c r="U111" i="14"/>
  <c r="T111" i="14"/>
  <c r="S111" i="14"/>
  <c r="R111" i="14"/>
  <c r="Q111" i="14"/>
  <c r="P111" i="14"/>
  <c r="M111" i="14"/>
  <c r="U110" i="14"/>
  <c r="T110" i="14"/>
  <c r="S110" i="14"/>
  <c r="R110" i="14"/>
  <c r="Q110" i="14"/>
  <c r="P110" i="14"/>
  <c r="M110" i="14"/>
  <c r="U109" i="14"/>
  <c r="T109" i="14"/>
  <c r="S109" i="14"/>
  <c r="R109" i="14"/>
  <c r="Q109" i="14"/>
  <c r="P109" i="14"/>
  <c r="M109" i="14"/>
  <c r="U108" i="14"/>
  <c r="T108" i="14"/>
  <c r="S108" i="14"/>
  <c r="R108" i="14"/>
  <c r="Q108" i="14"/>
  <c r="P108" i="14"/>
  <c r="M108" i="14"/>
  <c r="U107" i="14"/>
  <c r="T107" i="14"/>
  <c r="S107" i="14"/>
  <c r="R107" i="14"/>
  <c r="Q107" i="14"/>
  <c r="P107" i="14"/>
  <c r="M107" i="14"/>
  <c r="U106" i="14"/>
  <c r="T106" i="14"/>
  <c r="S106" i="14"/>
  <c r="R106" i="14"/>
  <c r="Q106" i="14"/>
  <c r="P106" i="14"/>
  <c r="M106" i="14"/>
  <c r="U105" i="14"/>
  <c r="T105" i="14"/>
  <c r="S105" i="14"/>
  <c r="R105" i="14"/>
  <c r="Q105" i="14"/>
  <c r="P105" i="14"/>
  <c r="M105" i="14"/>
  <c r="U104" i="14"/>
  <c r="T104" i="14"/>
  <c r="S104" i="14"/>
  <c r="R104" i="14"/>
  <c r="Q104" i="14"/>
  <c r="P104" i="14"/>
  <c r="M104" i="14"/>
  <c r="U103" i="14"/>
  <c r="T103" i="14"/>
  <c r="S103" i="14"/>
  <c r="R103" i="14"/>
  <c r="Q103" i="14"/>
  <c r="P103" i="14"/>
  <c r="M103" i="14"/>
  <c r="U102" i="14"/>
  <c r="T102" i="14"/>
  <c r="S102" i="14"/>
  <c r="R102" i="14"/>
  <c r="Q102" i="14"/>
  <c r="P102" i="14"/>
  <c r="M102" i="14"/>
  <c r="U101" i="14"/>
  <c r="T101" i="14"/>
  <c r="S101" i="14"/>
  <c r="R101" i="14"/>
  <c r="Q101" i="14"/>
  <c r="P101" i="14"/>
  <c r="M101" i="14"/>
  <c r="U100" i="14"/>
  <c r="T100" i="14"/>
  <c r="S100" i="14"/>
  <c r="R100" i="14"/>
  <c r="Q100" i="14"/>
  <c r="P100" i="14"/>
  <c r="M100" i="14"/>
  <c r="U99" i="14"/>
  <c r="T99" i="14"/>
  <c r="S99" i="14"/>
  <c r="R99" i="14"/>
  <c r="Q99" i="14"/>
  <c r="P99" i="14"/>
  <c r="M99" i="14"/>
  <c r="U98" i="14"/>
  <c r="T98" i="14"/>
  <c r="S98" i="14"/>
  <c r="R98" i="14"/>
  <c r="Q98" i="14"/>
  <c r="P98" i="14"/>
  <c r="M98" i="14"/>
  <c r="U97" i="14"/>
  <c r="T97" i="14"/>
  <c r="S97" i="14"/>
  <c r="R97" i="14"/>
  <c r="Q97" i="14"/>
  <c r="P97" i="14"/>
  <c r="M97" i="14"/>
  <c r="U96" i="14"/>
  <c r="T96" i="14"/>
  <c r="S96" i="14"/>
  <c r="R96" i="14"/>
  <c r="Q96" i="14"/>
  <c r="P96" i="14"/>
  <c r="M96" i="14"/>
  <c r="U95" i="14"/>
  <c r="T95" i="14"/>
  <c r="S95" i="14"/>
  <c r="R95" i="14"/>
  <c r="Q95" i="14"/>
  <c r="P95" i="14"/>
  <c r="M95" i="14"/>
  <c r="U94" i="14"/>
  <c r="T94" i="14"/>
  <c r="S94" i="14"/>
  <c r="R94" i="14"/>
  <c r="Q94" i="14"/>
  <c r="P94" i="14"/>
  <c r="M94" i="14"/>
  <c r="U93" i="14"/>
  <c r="T93" i="14"/>
  <c r="S93" i="14"/>
  <c r="R93" i="14"/>
  <c r="Q93" i="14"/>
  <c r="P93" i="14"/>
  <c r="M93" i="14"/>
  <c r="U92" i="14"/>
  <c r="T92" i="14"/>
  <c r="S92" i="14"/>
  <c r="R92" i="14"/>
  <c r="Q92" i="14"/>
  <c r="P92" i="14"/>
  <c r="M92" i="14"/>
  <c r="U91" i="14"/>
  <c r="T91" i="14"/>
  <c r="S91" i="14"/>
  <c r="R91" i="14"/>
  <c r="Q91" i="14"/>
  <c r="P91" i="14"/>
  <c r="M91" i="14"/>
  <c r="U90" i="14"/>
  <c r="T90" i="14"/>
  <c r="S90" i="14"/>
  <c r="R90" i="14"/>
  <c r="Q90" i="14"/>
  <c r="P90" i="14"/>
  <c r="M90" i="14"/>
  <c r="U89" i="14"/>
  <c r="T89" i="14"/>
  <c r="S89" i="14"/>
  <c r="R89" i="14"/>
  <c r="Q89" i="14"/>
  <c r="P89" i="14"/>
  <c r="M89" i="14"/>
  <c r="U88" i="14"/>
  <c r="T88" i="14"/>
  <c r="S88" i="14"/>
  <c r="R88" i="14"/>
  <c r="Q88" i="14"/>
  <c r="P88" i="14"/>
  <c r="M88" i="14"/>
  <c r="U87" i="14"/>
  <c r="T87" i="14"/>
  <c r="S87" i="14"/>
  <c r="R87" i="14"/>
  <c r="Q87" i="14"/>
  <c r="P87" i="14"/>
  <c r="M87" i="14"/>
  <c r="U86" i="14"/>
  <c r="T86" i="14"/>
  <c r="S86" i="14"/>
  <c r="R86" i="14"/>
  <c r="Q86" i="14"/>
  <c r="P86" i="14"/>
  <c r="M86" i="14"/>
  <c r="U85" i="14"/>
  <c r="T85" i="14"/>
  <c r="S85" i="14"/>
  <c r="R85" i="14"/>
  <c r="Q85" i="14"/>
  <c r="P85" i="14"/>
  <c r="M85" i="14"/>
  <c r="U84" i="14"/>
  <c r="T84" i="14"/>
  <c r="S84" i="14"/>
  <c r="R84" i="14"/>
  <c r="Q84" i="14"/>
  <c r="P84" i="14"/>
  <c r="M84" i="14"/>
  <c r="U83" i="14"/>
  <c r="T83" i="14"/>
  <c r="S83" i="14"/>
  <c r="R83" i="14"/>
  <c r="Q83" i="14"/>
  <c r="P83" i="14"/>
  <c r="M83" i="14"/>
  <c r="U82" i="14"/>
  <c r="T82" i="14"/>
  <c r="S82" i="14"/>
  <c r="R82" i="14"/>
  <c r="Q82" i="14"/>
  <c r="P82" i="14"/>
  <c r="M82" i="14"/>
  <c r="U81" i="14"/>
  <c r="T81" i="14"/>
  <c r="S81" i="14"/>
  <c r="R81" i="14"/>
  <c r="Q81" i="14"/>
  <c r="P81" i="14"/>
  <c r="M81" i="14"/>
  <c r="U80" i="14"/>
  <c r="T80" i="14"/>
  <c r="S80" i="14"/>
  <c r="R80" i="14"/>
  <c r="Q80" i="14"/>
  <c r="P80" i="14"/>
  <c r="M80" i="14"/>
  <c r="U79" i="14"/>
  <c r="T79" i="14"/>
  <c r="S79" i="14"/>
  <c r="R79" i="14"/>
  <c r="Q79" i="14"/>
  <c r="P79" i="14"/>
  <c r="M79" i="14"/>
  <c r="U78" i="14"/>
  <c r="T78" i="14"/>
  <c r="S78" i="14"/>
  <c r="R78" i="14"/>
  <c r="Q78" i="14"/>
  <c r="P78" i="14"/>
  <c r="M78" i="14"/>
  <c r="U77" i="14"/>
  <c r="T77" i="14"/>
  <c r="S77" i="14"/>
  <c r="R77" i="14"/>
  <c r="Q77" i="14"/>
  <c r="P77" i="14"/>
  <c r="M77" i="14"/>
  <c r="U76" i="14"/>
  <c r="T76" i="14"/>
  <c r="S76" i="14"/>
  <c r="R76" i="14"/>
  <c r="Q76" i="14"/>
  <c r="P76" i="14"/>
  <c r="M76" i="14"/>
  <c r="U75" i="14"/>
  <c r="T75" i="14"/>
  <c r="S75" i="14"/>
  <c r="R75" i="14"/>
  <c r="Q75" i="14"/>
  <c r="P75" i="14"/>
  <c r="M75" i="14"/>
  <c r="U74" i="14"/>
  <c r="T74" i="14"/>
  <c r="S74" i="14"/>
  <c r="R74" i="14"/>
  <c r="Q74" i="14"/>
  <c r="P74" i="14"/>
  <c r="M74" i="14"/>
  <c r="U73" i="14"/>
  <c r="T73" i="14"/>
  <c r="S73" i="14"/>
  <c r="R73" i="14"/>
  <c r="Q73" i="14"/>
  <c r="P73" i="14"/>
  <c r="M73" i="14"/>
  <c r="U72" i="14"/>
  <c r="T72" i="14"/>
  <c r="S72" i="14"/>
  <c r="R72" i="14"/>
  <c r="Q72" i="14"/>
  <c r="P72" i="14"/>
  <c r="M72" i="14"/>
  <c r="U71" i="14"/>
  <c r="T71" i="14"/>
  <c r="S71" i="14"/>
  <c r="R71" i="14"/>
  <c r="Q71" i="14"/>
  <c r="P71" i="14"/>
  <c r="M71" i="14"/>
  <c r="U70" i="14"/>
  <c r="T70" i="14"/>
  <c r="S70" i="14"/>
  <c r="R70" i="14"/>
  <c r="Q70" i="14"/>
  <c r="P70" i="14"/>
  <c r="M70" i="14"/>
  <c r="U69" i="14"/>
  <c r="T69" i="14"/>
  <c r="S69" i="14"/>
  <c r="R69" i="14"/>
  <c r="Q69" i="14"/>
  <c r="P69" i="14"/>
  <c r="M69" i="14"/>
  <c r="U68" i="14"/>
  <c r="T68" i="14"/>
  <c r="S68" i="14"/>
  <c r="R68" i="14"/>
  <c r="Q68" i="14"/>
  <c r="P68" i="14"/>
  <c r="M68" i="14"/>
  <c r="U67" i="14"/>
  <c r="T67" i="14"/>
  <c r="S67" i="14"/>
  <c r="R67" i="14"/>
  <c r="Q67" i="14"/>
  <c r="P67" i="14"/>
  <c r="M67" i="14"/>
  <c r="U66" i="14"/>
  <c r="T66" i="14"/>
  <c r="S66" i="14"/>
  <c r="R66" i="14"/>
  <c r="Q66" i="14"/>
  <c r="P66" i="14"/>
  <c r="M66" i="14"/>
  <c r="U65" i="14"/>
  <c r="T65" i="14"/>
  <c r="S65" i="14"/>
  <c r="R65" i="14"/>
  <c r="Q65" i="14"/>
  <c r="P65" i="14"/>
  <c r="M65" i="14"/>
  <c r="U64" i="14"/>
  <c r="T64" i="14"/>
  <c r="S64" i="14"/>
  <c r="R64" i="14"/>
  <c r="Q64" i="14"/>
  <c r="P64" i="14"/>
  <c r="M64" i="14"/>
  <c r="U63" i="14"/>
  <c r="T63" i="14"/>
  <c r="S63" i="14"/>
  <c r="R63" i="14"/>
  <c r="Q63" i="14"/>
  <c r="P63" i="14"/>
  <c r="M63" i="14"/>
  <c r="U62" i="14"/>
  <c r="T62" i="14"/>
  <c r="S62" i="14"/>
  <c r="R62" i="14"/>
  <c r="Q62" i="14"/>
  <c r="P62" i="14"/>
  <c r="M62" i="14"/>
  <c r="U61" i="14"/>
  <c r="T61" i="14"/>
  <c r="S61" i="14"/>
  <c r="R61" i="14"/>
  <c r="Q61" i="14"/>
  <c r="P61" i="14"/>
  <c r="M61" i="14"/>
  <c r="U60" i="14"/>
  <c r="T60" i="14"/>
  <c r="S60" i="14"/>
  <c r="R60" i="14"/>
  <c r="Q60" i="14"/>
  <c r="P60" i="14"/>
  <c r="M60" i="14"/>
  <c r="U59" i="14"/>
  <c r="T59" i="14"/>
  <c r="S59" i="14"/>
  <c r="R59" i="14"/>
  <c r="Q59" i="14"/>
  <c r="P59" i="14"/>
  <c r="M59" i="14"/>
  <c r="U58" i="14"/>
  <c r="T58" i="14"/>
  <c r="S58" i="14"/>
  <c r="R58" i="14"/>
  <c r="Q58" i="14"/>
  <c r="P58" i="14"/>
  <c r="M58" i="14"/>
  <c r="U57" i="14"/>
  <c r="T57" i="14"/>
  <c r="S57" i="14"/>
  <c r="R57" i="14"/>
  <c r="Q57" i="14"/>
  <c r="P57" i="14"/>
  <c r="M57" i="14"/>
  <c r="U56" i="14"/>
  <c r="T56" i="14"/>
  <c r="S56" i="14"/>
  <c r="R56" i="14"/>
  <c r="Q56" i="14"/>
  <c r="P56" i="14"/>
  <c r="M56" i="14"/>
  <c r="U55" i="14"/>
  <c r="T55" i="14"/>
  <c r="S55" i="14"/>
  <c r="R55" i="14"/>
  <c r="Q55" i="14"/>
  <c r="P55" i="14"/>
  <c r="M55" i="14"/>
  <c r="U54" i="14"/>
  <c r="T54" i="14"/>
  <c r="S54" i="14"/>
  <c r="R54" i="14"/>
  <c r="Q54" i="14"/>
  <c r="P54" i="14"/>
  <c r="M54" i="14"/>
  <c r="U53" i="14"/>
  <c r="T53" i="14"/>
  <c r="S53" i="14"/>
  <c r="R53" i="14"/>
  <c r="Q53" i="14"/>
  <c r="P53" i="14"/>
  <c r="M53" i="14"/>
  <c r="U52" i="14"/>
  <c r="T52" i="14"/>
  <c r="S52" i="14"/>
  <c r="R52" i="14"/>
  <c r="Q52" i="14"/>
  <c r="P52" i="14"/>
  <c r="M52" i="14"/>
  <c r="U51" i="14"/>
  <c r="T51" i="14"/>
  <c r="S51" i="14"/>
  <c r="R51" i="14"/>
  <c r="Q51" i="14"/>
  <c r="P51" i="14"/>
  <c r="M51" i="14"/>
  <c r="U50" i="14"/>
  <c r="T50" i="14"/>
  <c r="S50" i="14"/>
  <c r="R50" i="14"/>
  <c r="Q50" i="14"/>
  <c r="P50" i="14"/>
  <c r="M50" i="14"/>
  <c r="U49" i="14"/>
  <c r="T49" i="14"/>
  <c r="S49" i="14"/>
  <c r="R49" i="14"/>
  <c r="Q49" i="14"/>
  <c r="P49" i="14"/>
  <c r="M49" i="14"/>
  <c r="U48" i="14"/>
  <c r="T48" i="14"/>
  <c r="S48" i="14"/>
  <c r="R48" i="14"/>
  <c r="Q48" i="14"/>
  <c r="P48" i="14"/>
  <c r="M48" i="14"/>
  <c r="U47" i="14"/>
  <c r="T47" i="14"/>
  <c r="S47" i="14"/>
  <c r="R47" i="14"/>
  <c r="Q47" i="14"/>
  <c r="P47" i="14"/>
  <c r="M47" i="14"/>
  <c r="U46" i="14"/>
  <c r="T46" i="14"/>
  <c r="S46" i="14"/>
  <c r="R46" i="14"/>
  <c r="Q46" i="14"/>
  <c r="P46" i="14"/>
  <c r="M46" i="14"/>
  <c r="U45" i="14"/>
  <c r="T45" i="14"/>
  <c r="S45" i="14"/>
  <c r="R45" i="14"/>
  <c r="Q45" i="14"/>
  <c r="P45" i="14"/>
  <c r="M45" i="14"/>
  <c r="U44" i="14"/>
  <c r="T44" i="14"/>
  <c r="S44" i="14"/>
  <c r="R44" i="14"/>
  <c r="Q44" i="14"/>
  <c r="P44" i="14"/>
  <c r="M44" i="14"/>
  <c r="U43" i="14"/>
  <c r="T43" i="14"/>
  <c r="S43" i="14"/>
  <c r="R43" i="14"/>
  <c r="Q43" i="14"/>
  <c r="P43" i="14"/>
  <c r="M43" i="14"/>
  <c r="U42" i="14"/>
  <c r="T42" i="14"/>
  <c r="S42" i="14"/>
  <c r="R42" i="14"/>
  <c r="Q42" i="14"/>
  <c r="P42" i="14"/>
  <c r="M42" i="14"/>
  <c r="U41" i="14"/>
  <c r="T41" i="14"/>
  <c r="S41" i="14"/>
  <c r="R41" i="14"/>
  <c r="Q41" i="14"/>
  <c r="P41" i="14"/>
  <c r="M41" i="14"/>
  <c r="U40" i="14"/>
  <c r="T40" i="14"/>
  <c r="S40" i="14"/>
  <c r="R40" i="14"/>
  <c r="Q40" i="14"/>
  <c r="P40" i="14"/>
  <c r="M40" i="14"/>
  <c r="U39" i="14"/>
  <c r="T39" i="14"/>
  <c r="S39" i="14"/>
  <c r="R39" i="14"/>
  <c r="Q39" i="14"/>
  <c r="P39" i="14"/>
  <c r="M39" i="14"/>
  <c r="U38" i="14"/>
  <c r="T38" i="14"/>
  <c r="S38" i="14"/>
  <c r="R38" i="14"/>
  <c r="Q38" i="14"/>
  <c r="P38" i="14"/>
  <c r="M38" i="14"/>
  <c r="U37" i="14"/>
  <c r="T37" i="14"/>
  <c r="S37" i="14"/>
  <c r="R37" i="14"/>
  <c r="Q37" i="14"/>
  <c r="P37" i="14"/>
  <c r="M37" i="14"/>
  <c r="U36" i="14"/>
  <c r="T36" i="14"/>
  <c r="S36" i="14"/>
  <c r="R36" i="14"/>
  <c r="Q36" i="14"/>
  <c r="P36" i="14"/>
  <c r="M36" i="14"/>
  <c r="U35" i="14"/>
  <c r="T35" i="14"/>
  <c r="S35" i="14"/>
  <c r="R35" i="14"/>
  <c r="Q35" i="14"/>
  <c r="P35" i="14"/>
  <c r="M35" i="14"/>
  <c r="U34" i="14"/>
  <c r="T34" i="14"/>
  <c r="S34" i="14"/>
  <c r="R34" i="14"/>
  <c r="Q34" i="14"/>
  <c r="P34" i="14"/>
  <c r="M34" i="14"/>
  <c r="U33" i="14"/>
  <c r="T33" i="14"/>
  <c r="S33" i="14"/>
  <c r="R33" i="14"/>
  <c r="Q33" i="14"/>
  <c r="P33" i="14"/>
  <c r="M33" i="14"/>
  <c r="U32" i="14"/>
  <c r="T32" i="14"/>
  <c r="S32" i="14"/>
  <c r="R32" i="14"/>
  <c r="Q32" i="14"/>
  <c r="P32" i="14"/>
  <c r="M32" i="14"/>
  <c r="U31" i="14"/>
  <c r="T31" i="14"/>
  <c r="S31" i="14"/>
  <c r="R31" i="14"/>
  <c r="Q31" i="14"/>
  <c r="P31" i="14"/>
  <c r="M31" i="14"/>
  <c r="U30" i="14"/>
  <c r="T30" i="14"/>
  <c r="S30" i="14"/>
  <c r="R30" i="14"/>
  <c r="Q30" i="14"/>
  <c r="P30" i="14"/>
  <c r="M30" i="14"/>
  <c r="U29" i="14"/>
  <c r="T29" i="14"/>
  <c r="S29" i="14"/>
  <c r="R29" i="14"/>
  <c r="Q29" i="14"/>
  <c r="P29" i="14"/>
  <c r="M29" i="14"/>
  <c r="U28" i="14"/>
  <c r="T28" i="14"/>
  <c r="S28" i="14"/>
  <c r="R28" i="14"/>
  <c r="Q28" i="14"/>
  <c r="P28" i="14"/>
  <c r="M28" i="14"/>
  <c r="U27" i="14"/>
  <c r="T27" i="14"/>
  <c r="S27" i="14"/>
  <c r="R27" i="14"/>
  <c r="Q27" i="14"/>
  <c r="P27" i="14"/>
  <c r="M27" i="14"/>
  <c r="U26" i="14"/>
  <c r="T26" i="14"/>
  <c r="S26" i="14"/>
  <c r="R26" i="14"/>
  <c r="Q26" i="14"/>
  <c r="P26" i="14"/>
  <c r="M26" i="14"/>
  <c r="U25" i="14"/>
  <c r="T25" i="14"/>
  <c r="S25" i="14"/>
  <c r="R25" i="14"/>
  <c r="Q25" i="14"/>
  <c r="P25" i="14"/>
  <c r="M25" i="14"/>
  <c r="U24" i="14"/>
  <c r="T24" i="14"/>
  <c r="S24" i="14"/>
  <c r="R24" i="14"/>
  <c r="Q24" i="14"/>
  <c r="P24" i="14"/>
  <c r="M24" i="14"/>
  <c r="U23" i="14"/>
  <c r="T23" i="14"/>
  <c r="S23" i="14"/>
  <c r="R23" i="14"/>
  <c r="Q23" i="14"/>
  <c r="P23" i="14"/>
  <c r="M23" i="14"/>
  <c r="U22" i="14"/>
  <c r="T22" i="14"/>
  <c r="S22" i="14"/>
  <c r="R22" i="14"/>
  <c r="Q22" i="14"/>
  <c r="P22" i="14"/>
  <c r="M22" i="14"/>
  <c r="U21" i="14"/>
  <c r="T21" i="14"/>
  <c r="S21" i="14"/>
  <c r="R21" i="14"/>
  <c r="Q21" i="14"/>
  <c r="P21" i="14"/>
  <c r="M21" i="14"/>
  <c r="U20" i="14"/>
  <c r="T20" i="14"/>
  <c r="S20" i="14"/>
  <c r="R20" i="14"/>
  <c r="Q20" i="14"/>
  <c r="P20" i="14"/>
  <c r="M20" i="14"/>
  <c r="U19" i="14"/>
  <c r="T19" i="14"/>
  <c r="S19" i="14"/>
  <c r="R19" i="14"/>
  <c r="Q19" i="14"/>
  <c r="P19" i="14"/>
  <c r="M19" i="14"/>
  <c r="U18" i="14"/>
  <c r="T18" i="14"/>
  <c r="S18" i="14"/>
  <c r="R18" i="14"/>
  <c r="Q18" i="14"/>
  <c r="P18" i="14"/>
  <c r="M18" i="14"/>
  <c r="U17" i="14"/>
  <c r="T17" i="14"/>
  <c r="S17" i="14"/>
  <c r="R17" i="14"/>
  <c r="Q17" i="14"/>
  <c r="P17" i="14"/>
  <c r="M17" i="14"/>
  <c r="U16" i="14"/>
  <c r="T16" i="14"/>
  <c r="S16" i="14"/>
  <c r="R16" i="14"/>
  <c r="Q16" i="14"/>
  <c r="P16" i="14"/>
  <c r="M16" i="14"/>
  <c r="U15" i="14"/>
  <c r="T15" i="14"/>
  <c r="S15" i="14"/>
  <c r="R15" i="14"/>
  <c r="Q15" i="14"/>
  <c r="P15" i="14"/>
  <c r="M15" i="14"/>
  <c r="U14" i="14"/>
  <c r="T14" i="14"/>
  <c r="S14" i="14"/>
  <c r="R14" i="14"/>
  <c r="Q14" i="14"/>
  <c r="P14" i="14"/>
  <c r="M14" i="14"/>
  <c r="U13" i="14"/>
  <c r="T13" i="14"/>
  <c r="S13" i="14"/>
  <c r="R13" i="14"/>
  <c r="Q13" i="14"/>
  <c r="P13" i="14"/>
  <c r="M13" i="14"/>
  <c r="U12" i="14"/>
  <c r="T12" i="14"/>
  <c r="S12" i="14"/>
  <c r="R12" i="14"/>
  <c r="Q12" i="14"/>
  <c r="P12" i="14"/>
  <c r="M12" i="14"/>
  <c r="U11" i="14"/>
  <c r="T11" i="14"/>
  <c r="S11" i="14"/>
  <c r="R11" i="14"/>
  <c r="Q11" i="14"/>
  <c r="P11" i="14"/>
  <c r="M11" i="14"/>
  <c r="U10" i="14"/>
  <c r="T10" i="14"/>
  <c r="S10" i="14"/>
  <c r="R10" i="14"/>
  <c r="Q10" i="14"/>
  <c r="P10" i="14"/>
  <c r="M10" i="14"/>
  <c r="U9" i="14"/>
  <c r="T9" i="14"/>
  <c r="S9" i="14"/>
  <c r="R9" i="14"/>
  <c r="Q9" i="14"/>
  <c r="P9" i="14"/>
  <c r="M9" i="14"/>
  <c r="U8" i="14"/>
  <c r="T8" i="14"/>
  <c r="S8" i="14"/>
  <c r="R8" i="14"/>
  <c r="Q8" i="14"/>
  <c r="P8" i="14"/>
  <c r="M8" i="14"/>
  <c r="U7" i="14"/>
  <c r="T7" i="14"/>
  <c r="S7" i="14"/>
  <c r="R7" i="14"/>
  <c r="Q7" i="14"/>
  <c r="P7" i="14"/>
  <c r="M7" i="14"/>
  <c r="U6" i="14"/>
  <c r="T6" i="14"/>
  <c r="S6" i="14"/>
  <c r="R6" i="14"/>
  <c r="Q6" i="14"/>
  <c r="P6" i="14"/>
  <c r="O6" i="14"/>
  <c r="M6" i="14"/>
  <c r="L6" i="14"/>
  <c r="K6" i="14"/>
  <c r="U5" i="14"/>
  <c r="T5" i="14"/>
  <c r="S5" i="14"/>
  <c r="R5" i="14"/>
  <c r="Q5" i="14"/>
  <c r="P5" i="14"/>
  <c r="O5" i="14"/>
  <c r="M5" i="14"/>
  <c r="L5" i="14"/>
  <c r="K5" i="14"/>
  <c r="U4" i="14"/>
  <c r="T4" i="14"/>
  <c r="S4" i="14"/>
  <c r="R4" i="14"/>
  <c r="Q4" i="14"/>
  <c r="P4" i="14"/>
  <c r="O4" i="14"/>
  <c r="M4" i="14"/>
  <c r="L4" i="14"/>
  <c r="K4" i="14"/>
  <c r="U3" i="14"/>
  <c r="T3" i="14"/>
  <c r="S3" i="14"/>
  <c r="R3" i="14"/>
  <c r="Q3" i="14"/>
  <c r="P3" i="14"/>
  <c r="O3" i="14"/>
  <c r="M3" i="14"/>
  <c r="L3" i="14"/>
  <c r="K3" i="14"/>
  <c r="U2" i="14"/>
  <c r="T2" i="14"/>
  <c r="O2" i="14"/>
  <c r="M2" i="14"/>
  <c r="L2" i="14"/>
  <c r="K2" i="14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4" i="12"/>
  <c r="S3" i="12"/>
  <c r="S2" i="12"/>
  <c r="Q2" i="12"/>
  <c r="Q4" i="12"/>
  <c r="Q3" i="12"/>
  <c r="R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3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P2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4" i="12"/>
  <c r="P3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O6" i="12"/>
  <c r="M6" i="12"/>
  <c r="L6" i="12"/>
  <c r="K6" i="12"/>
  <c r="O5" i="12"/>
  <c r="M5" i="12"/>
  <c r="L5" i="12"/>
  <c r="K5" i="12"/>
  <c r="O4" i="12"/>
  <c r="M4" i="12"/>
  <c r="L4" i="12"/>
  <c r="K4" i="12"/>
  <c r="O3" i="12"/>
  <c r="M3" i="12"/>
  <c r="L3" i="12"/>
  <c r="K3" i="12"/>
  <c r="O2" i="12"/>
  <c r="M2" i="12"/>
  <c r="L2" i="12"/>
  <c r="K2" i="12"/>
  <c r="O6" i="10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  <c r="R2" i="14" l="1"/>
  <c r="S2" i="14"/>
  <c r="P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E7385-31FC-4A0B-9A02-BDE33EDE3A3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<sst xmlns="http://schemas.openxmlformats.org/spreadsheetml/2006/main" count="9289" uniqueCount="364">
  <si>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</si>
  <si>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</si>
  <si>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</si>
  <si>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</si>
  <si>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</si>
  <si>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</si>
  <si>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</si>
  <si>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</si>
  <si>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</si>
  <si>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</si>
  <si>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</si>
  <si>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</si>
  <si>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</si>
  <si>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</si>
  <si>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</si>
  <si>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</si>
  <si>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</si>
  <si>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</si>
  <si>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</si>
  <si>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</si>
  <si>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</si>
  <si>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</si>
  <si>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</si>
  <si>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</si>
  <si>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</si>
  <si>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</si>
  <si>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</si>
  <si>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</si>
  <si>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</si>
  <si>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</si>
  <si>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</si>
  <si>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</si>
  <si>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</si>
  <si>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</si>
  <si>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</si>
  <si>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</si>
  <si>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</si>
  <si>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</si>
  <si>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</si>
  <si>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</si>
  <si>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</si>
  <si>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</si>
  <si>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</si>
  <si>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</si>
  <si>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</si>
  <si>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</si>
  <si>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</si>
  <si>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</si>
  <si>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</si>
  <si>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</si>
  <si>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</si>
  <si>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</si>
  <si>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</si>
  <si>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</si>
  <si>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</si>
  <si>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</si>
  <si>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</si>
  <si>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</si>
  <si>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</si>
  <si>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</si>
  <si>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</si>
  <si>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</si>
  <si>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</si>
  <si>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</si>
  <si>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</si>
  <si>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</si>
  <si>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</si>
  <si>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</si>
  <si>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</si>
  <si>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</si>
  <si>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</si>
  <si>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</si>
  <si>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</si>
  <si>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</si>
  <si>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</si>
  <si>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</si>
  <si>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</si>
  <si>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</si>
  <si>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</si>
  <si>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</si>
  <si>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</si>
  <si>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</si>
  <si>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</si>
  <si>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</si>
  <si>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</si>
  <si>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</si>
  <si>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</si>
  <si>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</si>
  <si>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</si>
  <si>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</si>
  <si>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</si>
  <si>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</si>
  <si>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</si>
  <si>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</si>
  <si>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</si>
  <si>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</si>
  <si>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</si>
  <si>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</si>
  <si>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</si>
  <si>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</si>
  <si>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</si>
  <si>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</si>
  <si>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</si>
  <si>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</si>
  <si>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</si>
  <si>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</si>
  <si>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</si>
  <si>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</si>
  <si>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</si>
  <si>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</si>
  <si>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</si>
  <si>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</si>
  <si>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</si>
  <si>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</si>
  <si>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</si>
  <si>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</si>
  <si>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</si>
  <si>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</si>
  <si>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</si>
  <si>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</si>
  <si>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</si>
  <si>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</si>
  <si>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</si>
  <si>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</si>
  <si>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</si>
  <si>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</si>
  <si>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</si>
  <si>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</si>
  <si>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</si>
  <si>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</si>
  <si>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</si>
  <si>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</si>
  <si>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</si>
  <si>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</si>
  <si>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</si>
  <si>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</si>
  <si>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</si>
  <si>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</si>
  <si>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</si>
  <si>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</si>
  <si>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</si>
  <si>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</si>
  <si>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</si>
  <si>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</si>
  <si>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</si>
  <si>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</si>
  <si>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</si>
  <si>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</si>
  <si>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</si>
  <si>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</si>
  <si>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</si>
  <si>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</si>
  <si>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</si>
  <si>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</si>
  <si>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</si>
  <si>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</si>
  <si>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</si>
  <si>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</si>
  <si>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</si>
  <si>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</si>
  <si>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</si>
  <si>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</si>
  <si>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</si>
  <si>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</si>
  <si>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</si>
  <si>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</si>
  <si>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</si>
  <si>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</si>
  <si>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</si>
  <si>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</si>
  <si>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</si>
  <si>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</si>
  <si>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</si>
  <si>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</si>
  <si>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</si>
  <si>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</si>
  <si>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</si>
  <si>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</si>
  <si>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</si>
  <si>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</si>
  <si>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</si>
  <si>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</si>
  <si>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</si>
  <si>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</si>
  <si>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</si>
  <si>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</si>
  <si>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</si>
  <si>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</si>
  <si>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</si>
  <si>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</si>
  <si>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</si>
  <si>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</si>
  <si>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</si>
  <si>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</si>
  <si>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</si>
  <si>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</si>
  <si>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</si>
  <si>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</si>
  <si>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</si>
  <si>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</si>
  <si>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</si>
  <si>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</si>
  <si>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</si>
  <si>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</si>
  <si>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</si>
  <si>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</si>
  <si>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</si>
  <si>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</si>
  <si>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</si>
  <si>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</si>
  <si>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</si>
  <si>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</si>
  <si>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</si>
  <si>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</si>
  <si>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</si>
  <si>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</si>
  <si>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</si>
  <si>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</si>
  <si>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</si>
  <si>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</si>
  <si>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</si>
  <si>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</si>
  <si>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</si>
  <si>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</si>
  <si>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</si>
  <si>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</si>
  <si>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</si>
  <si>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</si>
  <si>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</si>
  <si>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</si>
  <si>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</si>
  <si>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</si>
  <si>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</si>
  <si>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</si>
  <si>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</si>
  <si>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</si>
  <si>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</si>
  <si>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</si>
  <si>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</si>
  <si>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</si>
  <si>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</si>
  <si>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</si>
  <si>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</si>
  <si>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</si>
  <si>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</si>
  <si>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</si>
  <si>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</si>
  <si>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</si>
  <si>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</si>
  <si>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</si>
  <si>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</si>
  <si>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</si>
  <si>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</si>
  <si>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</si>
  <si>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</si>
  <si>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</si>
  <si>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</si>
  <si>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</si>
  <si>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</si>
  <si>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</si>
  <si>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</si>
  <si>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</si>
  <si>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</si>
  <si>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</si>
  <si>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</si>
  <si>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</si>
  <si>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</si>
  <si>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</si>
  <si>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</si>
  <si>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</si>
  <si>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</si>
  <si>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</si>
  <si>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</si>
  <si>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</si>
  <si>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</si>
  <si>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</si>
  <si>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</si>
  <si>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</si>
  <si>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</si>
  <si>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</si>
  <si>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</si>
  <si>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</si>
  <si>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</si>
  <si>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</si>
  <si>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</si>
  <si>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</si>
  <si>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</si>
  <si>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</si>
  <si>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</si>
  <si>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</si>
  <si>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</si>
  <si>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</si>
  <si>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</si>
  <si>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</si>
  <si>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</si>
  <si>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</si>
  <si>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</si>
  <si>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</si>
  <si>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</si>
  <si>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</si>
  <si>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</si>
  <si>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</si>
  <si>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</si>
  <si>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</si>
  <si>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</si>
  <si>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</si>
  <si>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</si>
  <si>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</si>
  <si>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</si>
  <si>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</si>
  <si>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</si>
  <si>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</si>
  <si>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</si>
  <si>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</si>
  <si>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</si>
  <si>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</si>
  <si>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</si>
  <si>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</si>
  <si>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</si>
  <si>
    <t>First 3 Characters</t>
  </si>
  <si>
    <t>Last 3 Characters</t>
  </si>
  <si>
    <t>Middle Characters</t>
  </si>
  <si>
    <t>Uppercase Name</t>
  </si>
  <si>
    <t>Lowercase Department</t>
  </si>
  <si>
    <t>Proper Department</t>
  </si>
  <si>
    <t>Day 5 – Text Functions Practice</t>
  </si>
  <si>
    <t>The LEFT function was used to extract characters from the beginning of employee names.</t>
  </si>
  <si>
    <t>The RIGHT function was used to extract characters from the end of employee names.</t>
  </si>
  <si>
    <t>The MID function was used to extract characters from the middle of employee names.</t>
  </si>
  <si>
    <t>The UPPER, LOWER, and PROPER functions were used to format text consistently.</t>
  </si>
  <si>
    <t>Day 6 – Data Validation &amp; Cleaning Intro</t>
  </si>
  <si>
    <t>No duplicate records were found in the dataset.</t>
  </si>
  <si>
    <t>Blank Name, Department, Country, Date of Joining, Performance Rating, and Gender values were identified and handled using Unknown.</t>
  </si>
  <si>
    <t>Missing Salary values represented as N/A were handled using Unknown.</t>
  </si>
  <si>
    <t>Invalid Email values were identified and replaced with Unknown.</t>
  </si>
  <si>
    <t>Day 7 – Power Query Introduction</t>
  </si>
  <si>
    <t>The Employee Details dataset was loaded into Power Query for data transformation.</t>
  </si>
  <si>
    <t>The dataset contained 9 columns and 150 employee records.</t>
  </si>
  <si>
    <t>Duplicate records were checked and removed using the Remove Duplicates option in Power Query.</t>
  </si>
  <si>
    <t>The cleaned data was successfully loaded back into Excel using Close &amp; Load.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</si>
  <si>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</si>
  <si>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</si>
  <si>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</si>
  <si>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</si>
  <si>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</si>
  <si>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</si>
  <si>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</si>
  <si>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</si>
  <si>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</si>
  <si>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</si>
  <si>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</si>
  <si>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</si>
  <si>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</si>
  <si>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</si>
  <si>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First Name</t>
  </si>
  <si>
    <t>Last Name</t>
  </si>
  <si>
    <t>Trimmed Name</t>
  </si>
  <si>
    <t>Flash Fill First Name</t>
  </si>
  <si>
    <t>UnKnown</t>
  </si>
  <si>
    <t>Day 8 – Handling Inconsistent Data</t>
  </si>
  <si>
    <t>The Text to Columns feature was used to split the Name column into First Name and Last Name.</t>
  </si>
  <si>
    <t>The TRIM function was used to remove unnecessary spaces from the Name values.</t>
  </si>
  <si>
    <t>Flash Fill was used to automatically extract First Names based on the given pattern.</t>
  </si>
  <si>
    <t>The text data was cleaned and organized into separate columns for easier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</si>
</sst>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1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</cellXfs>
  <cellStyles count="2">
    <cellStyle name="40% - Accent3" xfId="1" builtinId="39"/>
    <cellStyle name="Normal" xfId="0" builtinId="0"/>
  </cellStyles>
  <dxfs count="2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680B1-08C6-4382-B973-5D385179ED42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721D6-AA6C-4F44-9236-207EE5A5A8C6}" name="Table1" displayName="Table1" ref="A1:I151" totalsRowShown="0" headerRowDxfId="23" dataDxfId="21" headerRowBorderDxfId="22" tableBorderDxfId="20">
  <autoFilter ref="A1:I151" xr:uid="{E9A721D6-AA6C-4F44-9236-207EE5A5A8C6}"/>
  <tableColumns count="9">
    <tableColumn id="1" xr3:uid="{029C764B-37A6-46D6-97B0-D615DDC6B955}" name="Employee ID" dataDxfId="19"/>
    <tableColumn id="2" xr3:uid="{D5E8EB54-8C81-4443-B44D-475CEB9381C2}" name="Name" dataDxfId="18"/>
    <tableColumn id="3" xr3:uid="{DDCB7D6A-0DEE-4F8C-8776-9E3D0349618E}" name="Department" dataDxfId="17"/>
    <tableColumn id="4" xr3:uid="{9BC4C251-8160-41F5-8F7C-CF81F1651692}" name="Country" dataDxfId="16"/>
    <tableColumn id="5" xr3:uid="{1E961D46-29E6-4DC8-B3A6-E0F335B75AE5}" name="Salary" dataDxfId="15"/>
    <tableColumn id="6" xr3:uid="{BB993C3D-1A80-4F58-8E93-89B3312F4E0C}" name="Date of Joining" dataDxfId="14"/>
    <tableColumn id="7" xr3:uid="{C3A0EBFC-FE54-49B7-BC21-41D9C8A5984A}" name="Performance Rating" dataDxfId="13"/>
    <tableColumn id="8" xr3:uid="{0F1AA13D-E2DE-45A5-B16C-6B8824DF5F79}" name="Gender" dataDxfId="12"/>
    <tableColumn id="9" xr3:uid="{5D88DF47-0D36-4B3F-8846-960C9AA04BC2}" name="Email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F9ECFF-61EB-468F-BE0D-69A59E66AE9F}" name="Table1_1" displayName="Table1_1" ref="A1:I151" tableType="queryTable" totalsRowShown="0" headerRowDxfId="10" dataDxfId="9">
  <autoFilter ref="A1:I151" xr:uid="{CCF9ECFF-61EB-468F-BE0D-69A59E66AE9F}"/>
  <tableColumns count="9">
    <tableColumn id="1" xr3:uid="{380E61C5-ED4F-456E-A974-B522A3B528CD}" uniqueName="1" name="Employee ID" queryTableFieldId="1" dataDxfId="8"/>
    <tableColumn id="2" xr3:uid="{A0039623-9210-4CFC-95C8-DD6B21CDAFB1}" uniqueName="2" name="Name" queryTableFieldId="2" dataDxfId="7"/>
    <tableColumn id="3" xr3:uid="{3819AD74-6C94-434C-9268-7BF3DB56E383}" uniqueName="3" name="Department" queryTableFieldId="3" dataDxfId="6"/>
    <tableColumn id="4" xr3:uid="{ACA43FAD-164E-46A0-8E91-6AF5585C13C7}" uniqueName="4" name="Country" queryTableFieldId="4" dataDxfId="5"/>
    <tableColumn id="5" xr3:uid="{C8273371-5216-460E-AF71-804A8AEC5B74}" uniqueName="5" name="Salary" queryTableFieldId="5" dataDxfId="4"/>
    <tableColumn id="6" xr3:uid="{DB73D7A2-9357-48E9-9DC5-178740882A35}" uniqueName="6" name="Date of Joining" queryTableFieldId="6" dataDxfId="3"/>
    <tableColumn id="7" xr3:uid="{6D24D847-CF27-4EE8-B081-FFB1BAA729A4}" uniqueName="7" name="Performance Rating" queryTableFieldId="7" dataDxfId="2"/>
    <tableColumn id="8" xr3:uid="{21A70B1F-E195-4704-BCC8-156FBB4BF612}" uniqueName="8" name="Gender" queryTableFieldId="8" dataDxfId="1"/>
    <tableColumn id="9" xr3:uid="{FF761B5D-39E2-4ED6-8CF8-A6570C3B5F99}" uniqueName="9" name="Emai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opLeftCell="F1"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L1" workbookViewId="0">
      <selection activeCell="O3" sqref="O3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14C2-56F7-4B50-8AA6-BF4B12AF3F10}">
  <sheetPr>
    <tabColor rgb="FFFFC000"/>
  </sheetPr>
  <dimension ref="A1:U151"/>
  <sheetViews>
    <sheetView workbookViewId="0">
      <selection activeCell="U153" sqref="U153"/>
    </sheetView>
  </sheetViews>
  <sheetFormatPr defaultRowHeight="14.4" x14ac:dyDescent="0.3"/>
  <cols>
    <col min="1" max="21" width="25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  <c r="P2" s="7" t="str">
        <f>LEFT(B2,3)</f>
        <v/>
      </c>
      <c r="Q2" s="7" t="str">
        <f>RIGHT(B2,3)</f>
        <v/>
      </c>
      <c r="R2" s="7" t="str">
        <f>MID(B2,3,4)</f>
        <v/>
      </c>
      <c r="S2" s="7" t="str">
        <f>UPPER(B2)</f>
        <v/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7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/>
      </c>
      <c r="U15" s="7" t="str">
        <f t="shared" si="1"/>
        <v/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/>
      </c>
      <c r="Q17" s="7" t="str">
        <f t="shared" si="5"/>
        <v/>
      </c>
      <c r="R17" s="7" t="str">
        <f t="shared" si="3"/>
        <v/>
      </c>
      <c r="S17" s="7" t="str">
        <f t="shared" si="6"/>
        <v/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/>
      </c>
      <c r="U18" s="7" t="str">
        <f t="shared" si="1"/>
        <v/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/>
      </c>
      <c r="U21" s="7" t="str">
        <f t="shared" si="1"/>
        <v/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N/A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/>
      </c>
      <c r="U27" s="7" t="str">
        <f t="shared" si="1"/>
        <v/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/>
      </c>
      <c r="Q32" s="7" t="str">
        <f t="shared" si="5"/>
        <v/>
      </c>
      <c r="R32" s="7" t="str">
        <f t="shared" si="3"/>
        <v/>
      </c>
      <c r="S32" s="7" t="str">
        <f t="shared" si="6"/>
        <v/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/>
      </c>
      <c r="U35" s="7" t="str">
        <f t="shared" si="1"/>
        <v/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/>
      </c>
      <c r="U37" s="7" t="str">
        <f t="shared" si="1"/>
        <v/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N/A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/>
      </c>
      <c r="U44" s="7" t="str">
        <f t="shared" si="1"/>
        <v/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/>
      </c>
      <c r="Q47" s="7" t="str">
        <f t="shared" si="5"/>
        <v/>
      </c>
      <c r="R47" s="7" t="str">
        <f t="shared" si="3"/>
        <v/>
      </c>
      <c r="S47" s="7" t="str">
        <f t="shared" si="6"/>
        <v/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/>
      </c>
      <c r="U52" s="7" t="str">
        <f t="shared" si="1"/>
        <v/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/>
      </c>
      <c r="U57" s="7" t="str">
        <f t="shared" si="1"/>
        <v/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/>
      </c>
      <c r="U59" s="7" t="str">
        <f t="shared" si="1"/>
        <v/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N/A</v>
      </c>
      <c r="N62" s="7"/>
      <c r="O62" s="7"/>
      <c r="P62" s="7" t="str">
        <f t="shared" si="4"/>
        <v/>
      </c>
      <c r="Q62" s="7" t="str">
        <f t="shared" si="5"/>
        <v/>
      </c>
      <c r="R62" s="7" t="str">
        <f t="shared" si="3"/>
        <v/>
      </c>
      <c r="S62" s="7" t="str">
        <f t="shared" si="6"/>
        <v/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/>
      </c>
      <c r="U63" s="7" t="str">
        <f t="shared" si="1"/>
        <v/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ref="Q68:Q131" si="10">RIGHT(B68,3)</f>
        <v>son</v>
      </c>
      <c r="R68" s="7" t="str">
        <f t="shared" ref="R68:R131" si="11">MID(B68,3,4)</f>
        <v>m Wi</v>
      </c>
      <c r="S68" s="7" t="str">
        <f t="shared" si="6"/>
        <v>SAM WILSON</v>
      </c>
      <c r="T68" s="7" t="str">
        <f t="shared" si="7"/>
        <v/>
      </c>
      <c r="U68" s="7" t="str">
        <f t="shared" si="8"/>
        <v/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2">LEFT(B69,3)</f>
        <v>Ali</v>
      </c>
      <c r="Q69" s="7" t="str">
        <f t="shared" si="10"/>
        <v>own</v>
      </c>
      <c r="R69" s="7" t="str">
        <f t="shared" si="11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2"/>
        <v>Sam</v>
      </c>
      <c r="Q70" s="7" t="str">
        <f t="shared" si="10"/>
        <v>son</v>
      </c>
      <c r="R70" s="7" t="str">
        <f t="shared" si="11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2"/>
        <v>Bob</v>
      </c>
      <c r="Q71" s="7" t="str">
        <f t="shared" si="10"/>
        <v>son</v>
      </c>
      <c r="R71" s="7" t="str">
        <f t="shared" si="11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2"/>
        <v>Eve</v>
      </c>
      <c r="Q72" s="7" t="str">
        <f t="shared" si="10"/>
        <v>ams</v>
      </c>
      <c r="R72" s="7" t="str">
        <f t="shared" si="11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2"/>
        <v>Eve</v>
      </c>
      <c r="Q73" s="7" t="str">
        <f t="shared" si="10"/>
        <v>ams</v>
      </c>
      <c r="R73" s="7" t="str">
        <f t="shared" si="11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2"/>
        <v>Bob</v>
      </c>
      <c r="Q74" s="7" t="str">
        <f t="shared" si="10"/>
        <v>son</v>
      </c>
      <c r="R74" s="7" t="str">
        <f t="shared" si="11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2"/>
        <v>Joh</v>
      </c>
      <c r="Q75" s="7" t="str">
        <f t="shared" si="10"/>
        <v>Doe</v>
      </c>
      <c r="R75" s="7" t="str">
        <f t="shared" si="11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2"/>
        <v>Sam</v>
      </c>
      <c r="Q76" s="7" t="str">
        <f t="shared" si="10"/>
        <v>son</v>
      </c>
      <c r="R76" s="7" t="str">
        <f t="shared" si="11"/>
        <v>m Wi</v>
      </c>
      <c r="S76" s="7" t="str">
        <f t="shared" si="13"/>
        <v>SAM WILSON</v>
      </c>
      <c r="T76" s="7" t="str">
        <f t="shared" si="7"/>
        <v/>
      </c>
      <c r="U76" s="7" t="str">
        <f t="shared" si="8"/>
        <v/>
      </c>
    </row>
    <row r="77" spans="1:21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2"/>
        <v/>
      </c>
      <c r="Q77" s="7" t="str">
        <f t="shared" si="10"/>
        <v/>
      </c>
      <c r="R77" s="7" t="str">
        <f t="shared" si="11"/>
        <v/>
      </c>
      <c r="S77" s="7" t="str">
        <f t="shared" si="13"/>
        <v/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2"/>
        <v>Eve</v>
      </c>
      <c r="Q78" s="7" t="str">
        <f t="shared" si="10"/>
        <v>ams</v>
      </c>
      <c r="R78" s="7" t="str">
        <f t="shared" si="11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2"/>
        <v>Jan</v>
      </c>
      <c r="Q79" s="7" t="str">
        <f t="shared" si="10"/>
        <v>ith</v>
      </c>
      <c r="R79" s="7" t="str">
        <f t="shared" si="11"/>
        <v>ne S</v>
      </c>
      <c r="S79" s="7" t="str">
        <f t="shared" si="13"/>
        <v>JANE SMITH</v>
      </c>
      <c r="T79" s="7" t="str">
        <f t="shared" si="7"/>
        <v/>
      </c>
      <c r="U79" s="7" t="str">
        <f t="shared" si="8"/>
        <v/>
      </c>
    </row>
    <row r="80" spans="1:21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2"/>
        <v>Sam</v>
      </c>
      <c r="Q80" s="7" t="str">
        <f t="shared" si="10"/>
        <v>son</v>
      </c>
      <c r="R80" s="7" t="str">
        <f t="shared" si="11"/>
        <v>m Wi</v>
      </c>
      <c r="S80" s="7" t="str">
        <f t="shared" si="13"/>
        <v>SAM WILSON</v>
      </c>
      <c r="T80" s="7" t="str">
        <f t="shared" si="7"/>
        <v/>
      </c>
      <c r="U80" s="7" t="str">
        <f t="shared" si="8"/>
        <v/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2"/>
        <v>Chr</v>
      </c>
      <c r="Q81" s="7" t="str">
        <f t="shared" si="10"/>
        <v>Lee</v>
      </c>
      <c r="R81" s="7" t="str">
        <f t="shared" si="11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9"/>
        <v>N/A</v>
      </c>
      <c r="N82" s="7"/>
      <c r="O82" s="7"/>
      <c r="P82" s="7" t="str">
        <f t="shared" si="12"/>
        <v>Eve</v>
      </c>
      <c r="Q82" s="7" t="str">
        <f t="shared" si="10"/>
        <v>ams</v>
      </c>
      <c r="R82" s="7" t="str">
        <f t="shared" si="11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2"/>
        <v>Jan</v>
      </c>
      <c r="Q83" s="7" t="str">
        <f t="shared" si="10"/>
        <v>ith</v>
      </c>
      <c r="R83" s="7" t="str">
        <f t="shared" si="11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2"/>
        <v>Eve</v>
      </c>
      <c r="Q84" s="7" t="str">
        <f t="shared" si="10"/>
        <v>ams</v>
      </c>
      <c r="R84" s="7" t="str">
        <f t="shared" si="11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2"/>
        <v>Sam</v>
      </c>
      <c r="Q85" s="7" t="str">
        <f t="shared" si="10"/>
        <v>son</v>
      </c>
      <c r="R85" s="7" t="str">
        <f t="shared" si="11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2"/>
        <v>Joh</v>
      </c>
      <c r="Q86" s="7" t="str">
        <f t="shared" si="10"/>
        <v>Doe</v>
      </c>
      <c r="R86" s="7" t="str">
        <f t="shared" si="11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2"/>
        <v>Chr</v>
      </c>
      <c r="Q87" s="7" t="str">
        <f t="shared" si="10"/>
        <v>Lee</v>
      </c>
      <c r="R87" s="7" t="str">
        <f t="shared" si="11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2"/>
        <v>Chr</v>
      </c>
      <c r="Q88" s="7" t="str">
        <f t="shared" si="10"/>
        <v>Lee</v>
      </c>
      <c r="R88" s="7" t="str">
        <f t="shared" si="11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2"/>
        <v>Sam</v>
      </c>
      <c r="Q89" s="7" t="str">
        <f t="shared" si="10"/>
        <v>son</v>
      </c>
      <c r="R89" s="7" t="str">
        <f t="shared" si="11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2"/>
        <v>Chr</v>
      </c>
      <c r="Q90" s="7" t="str">
        <f t="shared" si="10"/>
        <v>Lee</v>
      </c>
      <c r="R90" s="7" t="str">
        <f t="shared" si="11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2"/>
        <v>Jan</v>
      </c>
      <c r="Q91" s="7" t="str">
        <f t="shared" si="10"/>
        <v>ith</v>
      </c>
      <c r="R91" s="7" t="str">
        <f t="shared" si="11"/>
        <v>ne S</v>
      </c>
      <c r="S91" s="7" t="str">
        <f t="shared" si="13"/>
        <v>JANE SMITH</v>
      </c>
      <c r="T91" s="7" t="str">
        <f t="shared" si="7"/>
        <v/>
      </c>
      <c r="U91" s="7" t="str">
        <f t="shared" si="8"/>
        <v/>
      </c>
    </row>
    <row r="92" spans="1:21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2"/>
        <v/>
      </c>
      <c r="Q92" s="7" t="str">
        <f t="shared" si="10"/>
        <v/>
      </c>
      <c r="R92" s="7" t="str">
        <f t="shared" si="11"/>
        <v/>
      </c>
      <c r="S92" s="7" t="str">
        <f t="shared" si="13"/>
        <v/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2"/>
        <v>Ali</v>
      </c>
      <c r="Q93" s="7" t="str">
        <f t="shared" si="10"/>
        <v>own</v>
      </c>
      <c r="R93" s="7" t="str">
        <f t="shared" si="11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2"/>
        <v>Jan</v>
      </c>
      <c r="Q94" s="7" t="str">
        <f t="shared" si="10"/>
        <v>ith</v>
      </c>
      <c r="R94" s="7" t="str">
        <f t="shared" si="11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2"/>
        <v>Ali</v>
      </c>
      <c r="Q95" s="7" t="str">
        <f t="shared" si="10"/>
        <v>own</v>
      </c>
      <c r="R95" s="7" t="str">
        <f t="shared" si="11"/>
        <v xml:space="preserve">ice </v>
      </c>
      <c r="S95" s="7" t="str">
        <f t="shared" si="13"/>
        <v>ALICE BROWN</v>
      </c>
      <c r="T95" s="7" t="str">
        <f t="shared" si="7"/>
        <v/>
      </c>
      <c r="U95" s="7" t="str">
        <f t="shared" si="8"/>
        <v/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2"/>
        <v>Bob</v>
      </c>
      <c r="Q96" s="7" t="str">
        <f t="shared" si="10"/>
        <v>son</v>
      </c>
      <c r="R96" s="7" t="str">
        <f t="shared" si="11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2"/>
        <v>Ali</v>
      </c>
      <c r="Q97" s="7" t="str">
        <f t="shared" si="10"/>
        <v>own</v>
      </c>
      <c r="R97" s="7" t="str">
        <f t="shared" si="11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2"/>
        <v>Jan</v>
      </c>
      <c r="Q98" s="7" t="str">
        <f t="shared" si="10"/>
        <v>ith</v>
      </c>
      <c r="R98" s="7" t="str">
        <f t="shared" si="11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2"/>
        <v>Sam</v>
      </c>
      <c r="Q99" s="7" t="str">
        <f t="shared" si="10"/>
        <v>son</v>
      </c>
      <c r="R99" s="7" t="str">
        <f t="shared" si="11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2"/>
        <v>Bob</v>
      </c>
      <c r="Q100" s="7" t="str">
        <f t="shared" si="10"/>
        <v>son</v>
      </c>
      <c r="R100" s="7" t="str">
        <f t="shared" si="11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2"/>
        <v>Eve</v>
      </c>
      <c r="Q101" s="7" t="str">
        <f t="shared" si="10"/>
        <v>ams</v>
      </c>
      <c r="R101" s="7" t="str">
        <f t="shared" si="11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N/A</v>
      </c>
      <c r="N102" s="7"/>
      <c r="O102" s="7"/>
      <c r="P102" s="7" t="str">
        <f t="shared" si="12"/>
        <v>Bob</v>
      </c>
      <c r="Q102" s="7" t="str">
        <f t="shared" si="10"/>
        <v>son</v>
      </c>
      <c r="R102" s="7" t="str">
        <f t="shared" si="11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2"/>
        <v>Bob</v>
      </c>
      <c r="Q103" s="7" t="str">
        <f t="shared" si="10"/>
        <v>son</v>
      </c>
      <c r="R103" s="7" t="str">
        <f t="shared" si="11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2"/>
        <v>Ali</v>
      </c>
      <c r="Q104" s="7" t="str">
        <f t="shared" si="10"/>
        <v>own</v>
      </c>
      <c r="R104" s="7" t="str">
        <f t="shared" si="11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2"/>
        <v>Ali</v>
      </c>
      <c r="Q105" s="7" t="str">
        <f t="shared" si="10"/>
        <v>own</v>
      </c>
      <c r="R105" s="7" t="str">
        <f t="shared" si="11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2"/>
        <v>Jan</v>
      </c>
      <c r="Q106" s="7" t="str">
        <f t="shared" si="10"/>
        <v>ith</v>
      </c>
      <c r="R106" s="7" t="str">
        <f t="shared" si="11"/>
        <v>ne S</v>
      </c>
      <c r="S106" s="7" t="str">
        <f t="shared" si="13"/>
        <v>JANE SMITH</v>
      </c>
      <c r="T106" s="7" t="str">
        <f t="shared" si="7"/>
        <v/>
      </c>
      <c r="U106" s="7" t="str">
        <f t="shared" si="8"/>
        <v/>
      </c>
    </row>
    <row r="107" spans="1:21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2"/>
        <v/>
      </c>
      <c r="Q107" s="7" t="str">
        <f t="shared" si="10"/>
        <v/>
      </c>
      <c r="R107" s="7" t="str">
        <f t="shared" si="11"/>
        <v/>
      </c>
      <c r="S107" s="7" t="str">
        <f t="shared" si="13"/>
        <v/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2"/>
        <v>Eve</v>
      </c>
      <c r="Q108" s="7" t="str">
        <f t="shared" si="10"/>
        <v>ams</v>
      </c>
      <c r="R108" s="7" t="str">
        <f t="shared" si="11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2"/>
        <v>Sam</v>
      </c>
      <c r="Q109" s="7" t="str">
        <f t="shared" si="10"/>
        <v>son</v>
      </c>
      <c r="R109" s="7" t="str">
        <f t="shared" si="11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2"/>
        <v>Sam</v>
      </c>
      <c r="Q110" s="7" t="str">
        <f t="shared" si="10"/>
        <v>son</v>
      </c>
      <c r="R110" s="7" t="str">
        <f t="shared" si="11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2"/>
        <v>Jan</v>
      </c>
      <c r="Q111" s="7" t="str">
        <f t="shared" si="10"/>
        <v>ith</v>
      </c>
      <c r="R111" s="7" t="str">
        <f t="shared" si="11"/>
        <v>ne S</v>
      </c>
      <c r="S111" s="7" t="str">
        <f t="shared" si="13"/>
        <v>JANE SMITH</v>
      </c>
      <c r="T111" s="7" t="str">
        <f t="shared" si="7"/>
        <v/>
      </c>
      <c r="U111" s="7" t="str">
        <f t="shared" si="8"/>
        <v/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2"/>
        <v>Chr</v>
      </c>
      <c r="Q112" s="7" t="str">
        <f t="shared" si="10"/>
        <v>Lee</v>
      </c>
      <c r="R112" s="7" t="str">
        <f t="shared" si="11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2"/>
        <v>Chr</v>
      </c>
      <c r="Q113" s="7" t="str">
        <f t="shared" si="10"/>
        <v>Lee</v>
      </c>
      <c r="R113" s="7" t="str">
        <f t="shared" si="11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2"/>
        <v>Eve</v>
      </c>
      <c r="Q114" s="7" t="str">
        <f t="shared" si="10"/>
        <v>ams</v>
      </c>
      <c r="R114" s="7" t="str">
        <f t="shared" si="11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2"/>
        <v>Ali</v>
      </c>
      <c r="Q115" s="7" t="str">
        <f t="shared" si="10"/>
        <v>own</v>
      </c>
      <c r="R115" s="7" t="str">
        <f t="shared" si="11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2"/>
        <v>Eve</v>
      </c>
      <c r="Q116" s="7" t="str">
        <f t="shared" si="10"/>
        <v>ams</v>
      </c>
      <c r="R116" s="7" t="str">
        <f t="shared" si="11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2"/>
        <v>Bob</v>
      </c>
      <c r="Q117" s="7" t="str">
        <f t="shared" si="10"/>
        <v>son</v>
      </c>
      <c r="R117" s="7" t="str">
        <f t="shared" si="11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2"/>
        <v>Bob</v>
      </c>
      <c r="Q118" s="7" t="str">
        <f t="shared" si="10"/>
        <v>son</v>
      </c>
      <c r="R118" s="7" t="str">
        <f t="shared" si="11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2"/>
        <v>Bob</v>
      </c>
      <c r="Q119" s="7" t="str">
        <f t="shared" si="10"/>
        <v>son</v>
      </c>
      <c r="R119" s="7" t="str">
        <f t="shared" si="11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2"/>
        <v>Chr</v>
      </c>
      <c r="Q120" s="7" t="str">
        <f t="shared" si="10"/>
        <v>Lee</v>
      </c>
      <c r="R120" s="7" t="str">
        <f t="shared" si="11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2"/>
        <v>Eve</v>
      </c>
      <c r="Q121" s="7" t="str">
        <f t="shared" si="10"/>
        <v>ams</v>
      </c>
      <c r="R121" s="7" t="str">
        <f t="shared" si="11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N/A</v>
      </c>
      <c r="N122" s="7"/>
      <c r="O122" s="7"/>
      <c r="P122" s="7" t="str">
        <f t="shared" si="12"/>
        <v/>
      </c>
      <c r="Q122" s="7" t="str">
        <f t="shared" si="10"/>
        <v/>
      </c>
      <c r="R122" s="7" t="str">
        <f t="shared" si="11"/>
        <v/>
      </c>
      <c r="S122" s="7" t="str">
        <f t="shared" si="13"/>
        <v/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2"/>
        <v>Chr</v>
      </c>
      <c r="Q123" s="7" t="str">
        <f t="shared" si="10"/>
        <v>Lee</v>
      </c>
      <c r="R123" s="7" t="str">
        <f t="shared" si="11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2"/>
        <v>Bob</v>
      </c>
      <c r="Q124" s="7" t="str">
        <f t="shared" si="10"/>
        <v>son</v>
      </c>
      <c r="R124" s="7" t="str">
        <f t="shared" si="11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2"/>
        <v>Jan</v>
      </c>
      <c r="Q125" s="7" t="str">
        <f t="shared" si="10"/>
        <v>ith</v>
      </c>
      <c r="R125" s="7" t="str">
        <f t="shared" si="11"/>
        <v>ne S</v>
      </c>
      <c r="S125" s="7" t="str">
        <f t="shared" si="13"/>
        <v>JANE SMITH</v>
      </c>
      <c r="T125" s="7" t="str">
        <f t="shared" si="7"/>
        <v/>
      </c>
      <c r="U125" s="7" t="str">
        <f t="shared" si="8"/>
        <v/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2"/>
        <v>Joh</v>
      </c>
      <c r="Q126" s="7" t="str">
        <f t="shared" si="10"/>
        <v>Doe</v>
      </c>
      <c r="R126" s="7" t="str">
        <f t="shared" si="11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2"/>
        <v>Joh</v>
      </c>
      <c r="Q127" s="7" t="str">
        <f t="shared" si="10"/>
        <v>Doe</v>
      </c>
      <c r="R127" s="7" t="str">
        <f t="shared" si="11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2"/>
        <v>Bob</v>
      </c>
      <c r="Q128" s="7" t="str">
        <f t="shared" si="10"/>
        <v>son</v>
      </c>
      <c r="R128" s="7" t="str">
        <f t="shared" si="11"/>
        <v>b Jo</v>
      </c>
      <c r="S128" s="7" t="str">
        <f t="shared" si="13"/>
        <v>BOB JOHNSON</v>
      </c>
      <c r="T128" s="7" t="str">
        <f t="shared" si="7"/>
        <v/>
      </c>
      <c r="U128" s="7" t="str">
        <f t="shared" si="8"/>
        <v/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2"/>
        <v>Joh</v>
      </c>
      <c r="Q129" s="7" t="str">
        <f t="shared" si="10"/>
        <v>Doe</v>
      </c>
      <c r="R129" s="7" t="str">
        <f t="shared" si="11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2"/>
        <v>Chr</v>
      </c>
      <c r="Q130" s="7" t="str">
        <f t="shared" si="10"/>
        <v>Lee</v>
      </c>
      <c r="R130" s="7" t="str">
        <f t="shared" si="11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2"/>
        <v>Bob</v>
      </c>
      <c r="Q131" s="7" t="str">
        <f t="shared" si="10"/>
        <v>son</v>
      </c>
      <c r="R131" s="7" t="str">
        <f t="shared" si="11"/>
        <v>b Jo</v>
      </c>
      <c r="S131" s="7" t="str">
        <f t="shared" si="13"/>
        <v>BOB JOHNSON</v>
      </c>
      <c r="T131" s="7" t="str">
        <f t="shared" ref="T131:T151" si="14">LOWER(C131)</f>
        <v/>
      </c>
      <c r="U131" s="7" t="str">
        <f t="shared" ref="U131:U151" si="15">PROPER(C131)</f>
        <v/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2"/>
        <v>Ali</v>
      </c>
      <c r="Q132" s="7" t="str">
        <f t="shared" ref="Q132:Q151" si="17">RIGHT(B132,3)</f>
        <v>own</v>
      </c>
      <c r="R132" s="7" t="str">
        <f t="shared" ref="R132:R151" si="18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9">LEFT(B133,3)</f>
        <v>Sam</v>
      </c>
      <c r="Q133" s="7" t="str">
        <f t="shared" si="17"/>
        <v>son</v>
      </c>
      <c r="R133" s="7" t="str">
        <f t="shared" si="18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9"/>
        <v>Eve</v>
      </c>
      <c r="Q134" s="7" t="str">
        <f t="shared" si="17"/>
        <v>ams</v>
      </c>
      <c r="R134" s="7" t="str">
        <f t="shared" si="18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9"/>
        <v>Chr</v>
      </c>
      <c r="Q135" s="7" t="str">
        <f t="shared" si="17"/>
        <v>Lee</v>
      </c>
      <c r="R135" s="7" t="str">
        <f t="shared" si="18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9"/>
        <v>Eve</v>
      </c>
      <c r="Q136" s="7" t="str">
        <f t="shared" si="17"/>
        <v>ams</v>
      </c>
      <c r="R136" s="7" t="str">
        <f t="shared" si="18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9"/>
        <v/>
      </c>
      <c r="Q137" s="7" t="str">
        <f t="shared" si="17"/>
        <v/>
      </c>
      <c r="R137" s="7" t="str">
        <f t="shared" si="18"/>
        <v/>
      </c>
      <c r="S137" s="7" t="str">
        <f t="shared" si="20"/>
        <v/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9"/>
        <v>Jan</v>
      </c>
      <c r="Q138" s="7" t="str">
        <f t="shared" si="17"/>
        <v>ith</v>
      </c>
      <c r="R138" s="7" t="str">
        <f t="shared" si="18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9"/>
        <v>Chr</v>
      </c>
      <c r="Q139" s="7" t="str">
        <f t="shared" si="17"/>
        <v>Lee</v>
      </c>
      <c r="R139" s="7" t="str">
        <f t="shared" si="18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9"/>
        <v>Chr</v>
      </c>
      <c r="Q140" s="7" t="str">
        <f t="shared" si="17"/>
        <v>Lee</v>
      </c>
      <c r="R140" s="7" t="str">
        <f t="shared" si="18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9"/>
        <v>Bob</v>
      </c>
      <c r="Q141" s="7" t="str">
        <f t="shared" si="17"/>
        <v>son</v>
      </c>
      <c r="R141" s="7" t="str">
        <f t="shared" si="18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16"/>
        <v>N/A</v>
      </c>
      <c r="N142" s="7"/>
      <c r="O142" s="7"/>
      <c r="P142" s="7" t="str">
        <f t="shared" si="19"/>
        <v>Chr</v>
      </c>
      <c r="Q142" s="7" t="str">
        <f t="shared" si="17"/>
        <v>Lee</v>
      </c>
      <c r="R142" s="7" t="str">
        <f t="shared" si="18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9"/>
        <v>Jan</v>
      </c>
      <c r="Q143" s="7" t="str">
        <f t="shared" si="17"/>
        <v>ith</v>
      </c>
      <c r="R143" s="7" t="str">
        <f t="shared" si="18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9"/>
        <v>Ali</v>
      </c>
      <c r="Q144" s="7" t="str">
        <f t="shared" si="17"/>
        <v>own</v>
      </c>
      <c r="R144" s="7" t="str">
        <f t="shared" si="18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9"/>
        <v>Chr</v>
      </c>
      <c r="Q145" s="7" t="str">
        <f t="shared" si="17"/>
        <v>Lee</v>
      </c>
      <c r="R145" s="7" t="str">
        <f t="shared" si="18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9"/>
        <v>Eve</v>
      </c>
      <c r="Q146" s="7" t="str">
        <f t="shared" si="17"/>
        <v>ams</v>
      </c>
      <c r="R146" s="7" t="str">
        <f t="shared" si="18"/>
        <v>e Ad</v>
      </c>
      <c r="S146" s="7" t="str">
        <f t="shared" si="20"/>
        <v>EVE ADAMS</v>
      </c>
      <c r="T146" s="7" t="str">
        <f t="shared" si="14"/>
        <v/>
      </c>
      <c r="U146" s="7" t="str">
        <f t="shared" si="15"/>
        <v/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9"/>
        <v>Sam</v>
      </c>
      <c r="Q147" s="7" t="str">
        <f t="shared" si="17"/>
        <v>son</v>
      </c>
      <c r="R147" s="7" t="str">
        <f t="shared" si="18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9"/>
        <v>Joh</v>
      </c>
      <c r="Q148" s="7" t="str">
        <f t="shared" si="17"/>
        <v>Doe</v>
      </c>
      <c r="R148" s="7" t="str">
        <f t="shared" si="18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9"/>
        <v>Bob</v>
      </c>
      <c r="Q149" s="7" t="str">
        <f t="shared" si="17"/>
        <v>son</v>
      </c>
      <c r="R149" s="7" t="str">
        <f t="shared" si="18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9"/>
        <v>Bob</v>
      </c>
      <c r="Q150" s="7" t="str">
        <f t="shared" si="17"/>
        <v>son</v>
      </c>
      <c r="R150" s="7" t="str">
        <f t="shared" si="18"/>
        <v>b Jo</v>
      </c>
      <c r="S150" s="7" t="str">
        <f t="shared" si="20"/>
        <v>BOB JOHNSON</v>
      </c>
      <c r="T150" s="7" t="str">
        <f t="shared" si="14"/>
        <v/>
      </c>
      <c r="U150" s="7" t="str">
        <f t="shared" si="15"/>
        <v/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9"/>
        <v>Sam</v>
      </c>
      <c r="Q151" s="7" t="str">
        <f t="shared" si="17"/>
        <v>son</v>
      </c>
      <c r="R151" s="7" t="str">
        <f t="shared" si="18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333D-A26C-407D-A6F9-7B7CFD045EED}">
  <sheetPr>
    <tabColor theme="8"/>
  </sheetPr>
  <dimension ref="I4:J9"/>
  <sheetViews>
    <sheetView workbookViewId="0">
      <selection activeCell="N5" sqref="N5"/>
    </sheetView>
  </sheetViews>
  <sheetFormatPr defaultRowHeight="14.4" x14ac:dyDescent="0.3"/>
  <cols>
    <col min="10" max="10" width="86.5546875" customWidth="1"/>
  </cols>
  <sheetData>
    <row r="4" spans="9:10" ht="40.049999999999997" customHeight="1" x14ac:dyDescent="0.3">
      <c r="I4" s="4"/>
      <c r="J4" s="4" t="s">
        <v>325</v>
      </c>
    </row>
    <row r="5" spans="9:10" ht="40.049999999999997" customHeight="1" x14ac:dyDescent="0.3">
      <c r="I5" s="5" t="s">
        <v>282</v>
      </c>
      <c r="J5" s="5" t="s">
        <v>283</v>
      </c>
    </row>
    <row r="6" spans="9:10" ht="40.049999999999997" customHeight="1" x14ac:dyDescent="0.3">
      <c r="I6" s="6">
        <v>1</v>
      </c>
      <c r="J6" s="6" t="s">
        <v>326</v>
      </c>
    </row>
    <row r="7" spans="9:10" ht="40.049999999999997" customHeight="1" x14ac:dyDescent="0.3">
      <c r="I7" s="6">
        <v>2</v>
      </c>
      <c r="J7" s="6" t="s">
        <v>327</v>
      </c>
    </row>
    <row r="8" spans="9:10" ht="40.049999999999997" customHeight="1" x14ac:dyDescent="0.3">
      <c r="I8" s="6">
        <v>3</v>
      </c>
      <c r="J8" s="6" t="s">
        <v>328</v>
      </c>
    </row>
    <row r="9" spans="9:10" ht="40.049999999999997" customHeight="1" x14ac:dyDescent="0.3">
      <c r="I9" s="6">
        <v>4</v>
      </c>
      <c r="J9" s="6" t="s">
        <v>329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5FD8-99A6-4FC1-AD2A-338DE6FD5A0D}">
  <sheetPr>
    <tabColor rgb="FFFFC000"/>
  </sheetPr>
  <dimension ref="A1:U151"/>
  <sheetViews>
    <sheetView workbookViewId="0">
      <selection activeCell="G5" sqref="G5"/>
    </sheetView>
  </sheetViews>
  <sheetFormatPr defaultRowHeight="14.4" x14ac:dyDescent="0.3"/>
  <cols>
    <col min="1" max="21" width="20.77734375" customWidth="1"/>
  </cols>
  <sheetData>
    <row r="1" spans="1:21" ht="25.0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25.0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25.0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25.0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25.0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75C3-F6CE-4675-BE16-E740C0087FC7}">
  <sheetPr>
    <tabColor theme="8"/>
  </sheetPr>
  <dimension ref="H4:I9"/>
  <sheetViews>
    <sheetView topLeftCell="A2" workbookViewId="0">
      <selection activeCell="I17" sqref="I17"/>
    </sheetView>
  </sheetViews>
  <sheetFormatPr defaultRowHeight="14.4" x14ac:dyDescent="0.3"/>
  <cols>
    <col min="9" max="9" width="83.88671875" customWidth="1"/>
  </cols>
  <sheetData>
    <row r="4" spans="8:9" ht="30" customHeight="1" x14ac:dyDescent="0.3">
      <c r="H4" s="12"/>
      <c r="I4" s="4" t="s">
        <v>330</v>
      </c>
    </row>
    <row r="5" spans="8:9" ht="30" customHeight="1" x14ac:dyDescent="0.3">
      <c r="H5" s="5" t="s">
        <v>282</v>
      </c>
      <c r="I5" s="5" t="s">
        <v>283</v>
      </c>
    </row>
    <row r="6" spans="8:9" ht="30" customHeight="1" x14ac:dyDescent="0.3">
      <c r="H6" s="6">
        <v>1</v>
      </c>
      <c r="I6" s="6" t="s">
        <v>331</v>
      </c>
    </row>
    <row r="7" spans="8:9" ht="30" customHeight="1" x14ac:dyDescent="0.3">
      <c r="H7" s="6">
        <v>2</v>
      </c>
      <c r="I7" s="6" t="s">
        <v>332</v>
      </c>
    </row>
    <row r="8" spans="8:9" ht="30" customHeight="1" x14ac:dyDescent="0.3">
      <c r="H8" s="6">
        <v>3</v>
      </c>
      <c r="I8" s="6" t="s">
        <v>333</v>
      </c>
    </row>
    <row r="9" spans="8:9" ht="30" customHeight="1" x14ac:dyDescent="0.3">
      <c r="H9" s="6">
        <v>4</v>
      </c>
      <c r="I9" s="6" t="s">
        <v>334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516-93BB-4A21-849D-60F73FAF7F3C}">
  <sheetPr>
    <tabColor rgb="FFFFC000"/>
  </sheetPr>
  <dimension ref="A1:U151"/>
  <sheetViews>
    <sheetView workbookViewId="0">
      <selection activeCell="J8" sqref="J8"/>
    </sheetView>
  </sheetViews>
  <sheetFormatPr defaultRowHeight="14.4" x14ac:dyDescent="0.3"/>
  <cols>
    <col min="1" max="21" width="20.77734375" customWidth="1"/>
  </cols>
  <sheetData>
    <row r="1" spans="1:21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C6B7-E26D-4D8F-A9AF-1DFF0AC8A50E}">
  <sheetPr>
    <tabColor rgb="FF00B0F0"/>
  </sheetPr>
  <dimension ref="A1:I151"/>
  <sheetViews>
    <sheetView workbookViewId="0">
      <selection activeCell="H20" sqref="H20"/>
    </sheetView>
  </sheetViews>
  <sheetFormatPr defaultRowHeight="14.4" x14ac:dyDescent="0.3"/>
  <cols>
    <col min="1" max="9" width="20.77734375" customWidth="1"/>
  </cols>
  <sheetData>
    <row r="1" spans="1:9" ht="19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7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7">
        <v>42022</v>
      </c>
      <c r="G4" s="7">
        <v>2</v>
      </c>
      <c r="H4" s="7" t="s">
        <v>178</v>
      </c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7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7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7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7">
        <v>42050</v>
      </c>
      <c r="G8" s="7" t="s">
        <v>178</v>
      </c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7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7">
        <v>42064</v>
      </c>
      <c r="G10" s="7" t="s">
        <v>178</v>
      </c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7">
        <v>42071</v>
      </c>
      <c r="G11" s="7" t="s">
        <v>178</v>
      </c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7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7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7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7">
        <v>42099</v>
      </c>
      <c r="G15" s="7">
        <v>4</v>
      </c>
      <c r="H15" s="7" t="s">
        <v>178</v>
      </c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7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7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7">
        <v>42120</v>
      </c>
      <c r="G18" s="7" t="s">
        <v>178</v>
      </c>
      <c r="H18" s="7" t="s">
        <v>178</v>
      </c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7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7">
        <v>42134</v>
      </c>
      <c r="G20" s="7" t="s">
        <v>178</v>
      </c>
      <c r="H20" s="7" t="s">
        <v>178</v>
      </c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7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7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7">
        <v>42155</v>
      </c>
      <c r="G23" s="7">
        <v>4</v>
      </c>
      <c r="H23" s="7" t="s">
        <v>178</v>
      </c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7">
        <v>42162</v>
      </c>
      <c r="G24" s="7">
        <v>5</v>
      </c>
      <c r="H24" s="7" t="s">
        <v>178</v>
      </c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7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7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7">
        <v>42183</v>
      </c>
      <c r="G27" s="7">
        <v>3</v>
      </c>
      <c r="H27" s="7" t="s">
        <v>178</v>
      </c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7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7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7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7">
        <v>42211</v>
      </c>
      <c r="G31" s="7">
        <v>5</v>
      </c>
      <c r="H31" s="7" t="s">
        <v>178</v>
      </c>
      <c r="I31" s="7" t="s">
        <v>209</v>
      </c>
    </row>
    <row r="32" spans="1:9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7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7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7">
        <v>42239</v>
      </c>
      <c r="G35" s="7" t="s">
        <v>178</v>
      </c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7">
        <v>42246</v>
      </c>
      <c r="G36" s="7">
        <v>3</v>
      </c>
      <c r="H36" s="7" t="s">
        <v>178</v>
      </c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7">
        <v>42253</v>
      </c>
      <c r="G37" s="7">
        <v>4</v>
      </c>
      <c r="H37" s="7" t="s">
        <v>180</v>
      </c>
      <c r="I37" s="7" t="s">
        <v>178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7">
        <v>42260</v>
      </c>
      <c r="G38" s="7" t="s">
        <v>178</v>
      </c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7">
        <v>42267</v>
      </c>
      <c r="G39" s="7" t="s">
        <v>178</v>
      </c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7">
        <v>42274</v>
      </c>
      <c r="G40" s="7">
        <v>5</v>
      </c>
      <c r="H40" s="7" t="s">
        <v>178</v>
      </c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7">
        <v>42281</v>
      </c>
      <c r="G41" s="7">
        <v>3</v>
      </c>
      <c r="H41" s="7" t="s">
        <v>178</v>
      </c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7">
        <v>42295</v>
      </c>
      <c r="G43" s="7" t="s">
        <v>178</v>
      </c>
      <c r="H43" s="7" t="s">
        <v>178</v>
      </c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7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7">
        <v>42309</v>
      </c>
      <c r="G45" s="7" t="s">
        <v>178</v>
      </c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7">
        <v>42316</v>
      </c>
      <c r="G46" s="7">
        <v>1</v>
      </c>
      <c r="H46" s="7" t="s">
        <v>178</v>
      </c>
      <c r="I46" s="7" t="s">
        <v>223</v>
      </c>
    </row>
    <row r="47" spans="1:9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7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7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7">
        <v>42337</v>
      </c>
      <c r="G49" s="7">
        <v>4</v>
      </c>
      <c r="H49" s="7" t="s">
        <v>178</v>
      </c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7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7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7">
        <v>42365</v>
      </c>
      <c r="G53" s="7">
        <v>5</v>
      </c>
      <c r="H53" s="7" t="s">
        <v>178</v>
      </c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7">
        <v>42372</v>
      </c>
      <c r="G54" s="7">
        <v>1</v>
      </c>
      <c r="H54" s="7" t="s">
        <v>178</v>
      </c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7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7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7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7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7">
        <v>42407</v>
      </c>
      <c r="G59" s="7">
        <v>3</v>
      </c>
      <c r="H59" s="7" t="s">
        <v>178</v>
      </c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7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7">
        <v>42421</v>
      </c>
      <c r="G61" s="7">
        <v>1</v>
      </c>
      <c r="H61" s="7" t="s">
        <v>178</v>
      </c>
      <c r="I61" s="7" t="s">
        <v>223</v>
      </c>
    </row>
    <row r="62" spans="1:9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7">
        <v>42435</v>
      </c>
      <c r="G63" s="7">
        <v>2</v>
      </c>
      <c r="H63" s="7" t="s">
        <v>178</v>
      </c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7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7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7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7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7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7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7">
        <v>42484</v>
      </c>
      <c r="G70" s="7">
        <v>2</v>
      </c>
      <c r="H70" s="7" t="s">
        <v>178</v>
      </c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7">
        <v>42491</v>
      </c>
      <c r="G71" s="7">
        <v>1</v>
      </c>
      <c r="H71" s="7" t="s">
        <v>178</v>
      </c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7">
        <v>42498</v>
      </c>
      <c r="G72" s="7">
        <v>5</v>
      </c>
      <c r="H72" s="7" t="s">
        <v>181</v>
      </c>
      <c r="I72" s="7" t="s">
        <v>178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7">
        <v>42505</v>
      </c>
      <c r="G73" s="7">
        <v>3</v>
      </c>
      <c r="H73" s="7" t="s">
        <v>178</v>
      </c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7">
        <v>42512</v>
      </c>
      <c r="G74" s="7" t="s">
        <v>178</v>
      </c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7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7">
        <v>42526</v>
      </c>
      <c r="G76" s="7" t="s">
        <v>178</v>
      </c>
      <c r="H76" s="7" t="s">
        <v>178</v>
      </c>
      <c r="I76" s="7" t="s">
        <v>211</v>
      </c>
    </row>
    <row r="77" spans="1:9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7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7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7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7">
        <v>42554</v>
      </c>
      <c r="G80" s="7">
        <v>2</v>
      </c>
      <c r="H80" s="7" t="s">
        <v>178</v>
      </c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7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7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7">
        <v>42582</v>
      </c>
      <c r="G84" s="7">
        <v>1</v>
      </c>
      <c r="H84" s="7" t="s">
        <v>178</v>
      </c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7">
        <v>42589</v>
      </c>
      <c r="G85" s="7" t="s">
        <v>178</v>
      </c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7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7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7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7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7">
        <v>42624</v>
      </c>
      <c r="G90" s="7">
        <v>3</v>
      </c>
      <c r="H90" s="7" t="s">
        <v>178</v>
      </c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7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7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7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7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7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7">
        <v>42666</v>
      </c>
      <c r="G96" s="7" t="s">
        <v>178</v>
      </c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7">
        <v>42673</v>
      </c>
      <c r="G97" s="7" t="s">
        <v>178</v>
      </c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7">
        <v>42680</v>
      </c>
      <c r="G98" s="7">
        <v>3</v>
      </c>
      <c r="H98" s="7" t="s">
        <v>178</v>
      </c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7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7">
        <v>42694</v>
      </c>
      <c r="G100" s="7" t="s">
        <v>178</v>
      </c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7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7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7">
        <v>42715</v>
      </c>
      <c r="G103" s="7" t="s">
        <v>178</v>
      </c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7">
        <v>42722</v>
      </c>
      <c r="G104" s="7" t="s">
        <v>178</v>
      </c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7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7">
        <v>42736</v>
      </c>
      <c r="G106" s="7">
        <v>1</v>
      </c>
      <c r="H106" s="7" t="s">
        <v>178</v>
      </c>
      <c r="I106" s="7" t="s">
        <v>259</v>
      </c>
    </row>
    <row r="107" spans="1:9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7">
        <v>42743</v>
      </c>
      <c r="G107" s="7">
        <v>3</v>
      </c>
      <c r="H107" s="7" t="s">
        <v>179</v>
      </c>
      <c r="I107" s="7" t="s">
        <v>178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7">
        <v>42750</v>
      </c>
      <c r="G108" s="7" t="s">
        <v>178</v>
      </c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7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7">
        <v>42764</v>
      </c>
      <c r="G110" s="7">
        <v>1</v>
      </c>
      <c r="H110" s="7" t="s">
        <v>178</v>
      </c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7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7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7">
        <v>42792</v>
      </c>
      <c r="G114" s="7" t="s">
        <v>178</v>
      </c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7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7">
        <v>42806</v>
      </c>
      <c r="G116" s="7">
        <v>4</v>
      </c>
      <c r="H116" s="7" t="s">
        <v>178</v>
      </c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7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7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7">
        <v>42827</v>
      </c>
      <c r="G119" s="7">
        <v>1</v>
      </c>
      <c r="H119" s="7" t="s">
        <v>178</v>
      </c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7">
        <v>42834</v>
      </c>
      <c r="G120" s="7">
        <v>3</v>
      </c>
      <c r="H120" s="7" t="s">
        <v>178</v>
      </c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7">
        <v>42841</v>
      </c>
      <c r="G121" s="7" t="s">
        <v>178</v>
      </c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7">
        <v>42855</v>
      </c>
      <c r="G123" s="7">
        <v>2</v>
      </c>
      <c r="H123" s="7" t="s">
        <v>178</v>
      </c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7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7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7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7">
        <v>42883</v>
      </c>
      <c r="G127" s="7">
        <v>5</v>
      </c>
      <c r="H127" s="7" t="s">
        <v>178</v>
      </c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7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7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7">
        <v>42904</v>
      </c>
      <c r="G130" s="7">
        <v>1</v>
      </c>
      <c r="H130" s="7" t="s">
        <v>178</v>
      </c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7">
        <v>42911</v>
      </c>
      <c r="G131" s="7" t="s">
        <v>178</v>
      </c>
      <c r="H131" s="7" t="s">
        <v>178</v>
      </c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7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7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7">
        <v>42939</v>
      </c>
      <c r="G135" s="7">
        <v>3</v>
      </c>
      <c r="H135" s="7" t="s">
        <v>178</v>
      </c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7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7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7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7">
        <v>42967</v>
      </c>
      <c r="G139" s="7" t="s">
        <v>178</v>
      </c>
      <c r="H139" s="7" t="s">
        <v>178</v>
      </c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7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7">
        <v>42981</v>
      </c>
      <c r="G141" s="7">
        <v>2</v>
      </c>
      <c r="H141" s="7" t="s">
        <v>178</v>
      </c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7">
        <v>42988</v>
      </c>
      <c r="G142" s="7">
        <v>4</v>
      </c>
      <c r="H142" s="7" t="s">
        <v>179</v>
      </c>
      <c r="I142" s="7" t="s">
        <v>178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7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7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7">
        <v>43009</v>
      </c>
      <c r="G145" s="7" t="s">
        <v>178</v>
      </c>
      <c r="H145" s="7" t="s">
        <v>178</v>
      </c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7">
        <v>43016</v>
      </c>
      <c r="G146" s="7">
        <v>2</v>
      </c>
      <c r="H146" s="7" t="s">
        <v>178</v>
      </c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7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7">
        <v>43030</v>
      </c>
      <c r="G148" s="7">
        <v>2</v>
      </c>
      <c r="H148" s="7" t="s">
        <v>178</v>
      </c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7">
        <v>43037</v>
      </c>
      <c r="G149" s="7">
        <v>1</v>
      </c>
      <c r="H149" s="7" t="s">
        <v>178</v>
      </c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7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7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186A-4C8C-4C95-95F9-ABA17E9B0655}">
  <sheetPr>
    <tabColor theme="8"/>
  </sheetPr>
  <dimension ref="F3:G8"/>
  <sheetViews>
    <sheetView workbookViewId="0">
      <selection activeCell="F17" sqref="F17"/>
    </sheetView>
  </sheetViews>
  <sheetFormatPr defaultRowHeight="14.4" x14ac:dyDescent="0.3"/>
  <cols>
    <col min="7" max="7" width="91.109375" customWidth="1"/>
  </cols>
  <sheetData>
    <row r="3" spans="6:7" ht="25.05" customHeight="1" x14ac:dyDescent="0.3">
      <c r="F3" s="15"/>
      <c r="G3" s="15" t="s">
        <v>335</v>
      </c>
    </row>
    <row r="4" spans="6:7" ht="25.05" customHeight="1" x14ac:dyDescent="0.3">
      <c r="F4" s="16" t="s">
        <v>282</v>
      </c>
      <c r="G4" s="16" t="s">
        <v>283</v>
      </c>
    </row>
    <row r="5" spans="6:7" ht="25.05" customHeight="1" x14ac:dyDescent="0.3">
      <c r="F5" s="14">
        <v>1</v>
      </c>
      <c r="G5" s="14" t="s">
        <v>336</v>
      </c>
    </row>
    <row r="6" spans="6:7" ht="25.05" customHeight="1" x14ac:dyDescent="0.3">
      <c r="F6" s="14">
        <v>2</v>
      </c>
      <c r="G6" s="14" t="s">
        <v>337</v>
      </c>
    </row>
    <row r="7" spans="6:7" ht="25.05" customHeight="1" x14ac:dyDescent="0.3">
      <c r="F7" s="14">
        <v>3</v>
      </c>
      <c r="G7" s="14" t="s">
        <v>338</v>
      </c>
    </row>
    <row r="8" spans="6:7" ht="25.05" customHeight="1" x14ac:dyDescent="0.3">
      <c r="F8" s="14">
        <v>4</v>
      </c>
      <c r="G8" s="14" t="s">
        <v>339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2762-415C-4327-8DA8-8C9E3E8A53BB}">
  <sheetPr>
    <tabColor rgb="FFFFC000"/>
  </sheetPr>
  <dimension ref="A1:M151"/>
  <sheetViews>
    <sheetView topLeftCell="E1" workbookViewId="0">
      <selection activeCell="N19" sqref="N19"/>
    </sheetView>
  </sheetViews>
  <sheetFormatPr defaultRowHeight="14.4" x14ac:dyDescent="0.3"/>
  <cols>
    <col min="1" max="11" width="20.77734375" customWidth="1"/>
    <col min="12" max="13" width="29.5546875" customWidth="1"/>
  </cols>
  <sheetData>
    <row r="1" spans="1:13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354</v>
      </c>
      <c r="K1" s="9" t="s">
        <v>355</v>
      </c>
      <c r="L1" s="9" t="s">
        <v>356</v>
      </c>
      <c r="M1" s="9" t="s">
        <v>357</v>
      </c>
    </row>
    <row r="2" spans="1:13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178</v>
      </c>
      <c r="K2" s="7" t="s">
        <v>358</v>
      </c>
      <c r="L2" s="7" t="str">
        <f>TRIM(B2)</f>
        <v>Unknown</v>
      </c>
      <c r="M2" s="7" t="s">
        <v>178</v>
      </c>
    </row>
    <row r="3" spans="1:13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340</v>
      </c>
      <c r="K3" s="7" t="s">
        <v>341</v>
      </c>
      <c r="L3" s="7" t="str">
        <f t="shared" ref="L3:L66" si="0">TRIM(B3)</f>
        <v>Eve Adams</v>
      </c>
      <c r="M3" s="7" t="s">
        <v>340</v>
      </c>
    </row>
    <row r="4" spans="1:13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342</v>
      </c>
      <c r="K4" s="7" t="s">
        <v>343</v>
      </c>
      <c r="L4" s="7" t="str">
        <f t="shared" si="0"/>
        <v>Alice Brown</v>
      </c>
      <c r="M4" s="7" t="s">
        <v>342</v>
      </c>
    </row>
    <row r="5" spans="1:13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344</v>
      </c>
      <c r="K5" s="7" t="s">
        <v>345</v>
      </c>
      <c r="L5" s="7" t="str">
        <f t="shared" si="0"/>
        <v>John Doe</v>
      </c>
      <c r="M5" s="7" t="s">
        <v>344</v>
      </c>
    </row>
    <row r="6" spans="1:13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346</v>
      </c>
      <c r="K6" s="7" t="s">
        <v>347</v>
      </c>
      <c r="L6" s="7" t="str">
        <f t="shared" si="0"/>
        <v>Jane Smith</v>
      </c>
      <c r="M6" s="7" t="s">
        <v>346</v>
      </c>
    </row>
    <row r="7" spans="1:13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 t="s">
        <v>342</v>
      </c>
      <c r="K7" s="7" t="s">
        <v>343</v>
      </c>
      <c r="L7" s="7" t="str">
        <f t="shared" si="0"/>
        <v>Alice Brown</v>
      </c>
      <c r="M7" s="7" t="s">
        <v>342</v>
      </c>
    </row>
    <row r="8" spans="1:13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 t="s">
        <v>348</v>
      </c>
      <c r="K8" s="7" t="s">
        <v>349</v>
      </c>
      <c r="L8" s="7" t="str">
        <f t="shared" si="0"/>
        <v>Sam Wilson</v>
      </c>
      <c r="M8" s="7" t="s">
        <v>348</v>
      </c>
    </row>
    <row r="9" spans="1:13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 t="s">
        <v>350</v>
      </c>
      <c r="K9" s="7" t="s">
        <v>351</v>
      </c>
      <c r="L9" s="7" t="str">
        <f t="shared" si="0"/>
        <v>Chris Lee</v>
      </c>
      <c r="M9" s="7" t="s">
        <v>350</v>
      </c>
    </row>
    <row r="10" spans="1:13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 t="s">
        <v>342</v>
      </c>
      <c r="K10" s="7" t="s">
        <v>343</v>
      </c>
      <c r="L10" s="7" t="str">
        <f t="shared" si="0"/>
        <v>Alice Brown</v>
      </c>
      <c r="M10" s="7" t="s">
        <v>342</v>
      </c>
    </row>
    <row r="11" spans="1:13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 t="s">
        <v>350</v>
      </c>
      <c r="K11" s="7" t="s">
        <v>351</v>
      </c>
      <c r="L11" s="7" t="str">
        <f t="shared" si="0"/>
        <v>Chris Lee</v>
      </c>
      <c r="M11" s="7" t="s">
        <v>350</v>
      </c>
    </row>
    <row r="12" spans="1:13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 t="s">
        <v>348</v>
      </c>
      <c r="K12" s="7" t="s">
        <v>349</v>
      </c>
      <c r="L12" s="7" t="str">
        <f t="shared" si="0"/>
        <v>Sam Wilson</v>
      </c>
      <c r="M12" s="7" t="s">
        <v>348</v>
      </c>
    </row>
    <row r="13" spans="1:13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 t="s">
        <v>348</v>
      </c>
      <c r="K13" s="7" t="s">
        <v>349</v>
      </c>
      <c r="L13" s="7" t="str">
        <f t="shared" si="0"/>
        <v>Sam Wilson</v>
      </c>
      <c r="M13" s="7" t="s">
        <v>348</v>
      </c>
    </row>
    <row r="14" spans="1:13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 t="s">
        <v>352</v>
      </c>
      <c r="K14" s="7" t="s">
        <v>353</v>
      </c>
      <c r="L14" s="7" t="str">
        <f t="shared" si="0"/>
        <v>Bob Johnson</v>
      </c>
      <c r="M14" s="7" t="s">
        <v>352</v>
      </c>
    </row>
    <row r="15" spans="1:13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 t="s">
        <v>348</v>
      </c>
      <c r="K15" s="7" t="s">
        <v>349</v>
      </c>
      <c r="L15" s="7" t="str">
        <f t="shared" si="0"/>
        <v>Sam Wilson</v>
      </c>
      <c r="M15" s="7" t="s">
        <v>348</v>
      </c>
    </row>
    <row r="16" spans="1:13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 t="s">
        <v>346</v>
      </c>
      <c r="K16" s="7" t="s">
        <v>347</v>
      </c>
      <c r="L16" s="7" t="str">
        <f t="shared" si="0"/>
        <v>Jane Smith</v>
      </c>
      <c r="M16" s="7" t="s">
        <v>346</v>
      </c>
    </row>
    <row r="17" spans="1:13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 t="s">
        <v>178</v>
      </c>
      <c r="K17" s="7" t="s">
        <v>358</v>
      </c>
      <c r="L17" s="7" t="str">
        <f t="shared" si="0"/>
        <v>Unknown</v>
      </c>
      <c r="M17" s="7" t="s">
        <v>178</v>
      </c>
    </row>
    <row r="18" spans="1:13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 t="s">
        <v>352</v>
      </c>
      <c r="K18" s="7" t="s">
        <v>353</v>
      </c>
      <c r="L18" s="7" t="str">
        <f t="shared" si="0"/>
        <v>Bob Johnson</v>
      </c>
      <c r="M18" s="7" t="s">
        <v>352</v>
      </c>
    </row>
    <row r="19" spans="1:13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 t="s">
        <v>346</v>
      </c>
      <c r="K19" s="7" t="s">
        <v>347</v>
      </c>
      <c r="L19" s="7" t="str">
        <f t="shared" si="0"/>
        <v>Jane Smith</v>
      </c>
      <c r="M19" s="7" t="s">
        <v>346</v>
      </c>
    </row>
    <row r="20" spans="1:13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 t="s">
        <v>342</v>
      </c>
      <c r="K20" s="7" t="s">
        <v>343</v>
      </c>
      <c r="L20" s="7" t="str">
        <f t="shared" si="0"/>
        <v>Alice Brown</v>
      </c>
      <c r="M20" s="7" t="s">
        <v>342</v>
      </c>
    </row>
    <row r="21" spans="1:13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 t="s">
        <v>340</v>
      </c>
      <c r="K21" s="7" t="s">
        <v>341</v>
      </c>
      <c r="L21" s="7" t="str">
        <f t="shared" si="0"/>
        <v>Eve Adams</v>
      </c>
      <c r="M21" s="7" t="s">
        <v>340</v>
      </c>
    </row>
    <row r="22" spans="1:13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 t="s">
        <v>346</v>
      </c>
      <c r="K22" s="7" t="s">
        <v>347</v>
      </c>
      <c r="L22" s="7" t="str">
        <f t="shared" si="0"/>
        <v>Jane Smith</v>
      </c>
      <c r="M22" s="7" t="s">
        <v>346</v>
      </c>
    </row>
    <row r="23" spans="1:13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 t="s">
        <v>346</v>
      </c>
      <c r="K23" s="7" t="s">
        <v>347</v>
      </c>
      <c r="L23" s="7" t="str">
        <f t="shared" si="0"/>
        <v>Jane Smith</v>
      </c>
      <c r="M23" s="7" t="s">
        <v>346</v>
      </c>
    </row>
    <row r="24" spans="1:13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 t="s">
        <v>340</v>
      </c>
      <c r="K24" s="7" t="s">
        <v>341</v>
      </c>
      <c r="L24" s="7" t="str">
        <f t="shared" si="0"/>
        <v>Eve Adams</v>
      </c>
      <c r="M24" s="7" t="s">
        <v>340</v>
      </c>
    </row>
    <row r="25" spans="1:13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 t="s">
        <v>342</v>
      </c>
      <c r="K25" s="7" t="s">
        <v>343</v>
      </c>
      <c r="L25" s="7" t="str">
        <f t="shared" si="0"/>
        <v>Alice Brown</v>
      </c>
      <c r="M25" s="7" t="s">
        <v>342</v>
      </c>
    </row>
    <row r="26" spans="1:13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 t="s">
        <v>348</v>
      </c>
      <c r="K26" s="7" t="s">
        <v>349</v>
      </c>
      <c r="L26" s="7" t="str">
        <f t="shared" si="0"/>
        <v>Sam Wilson</v>
      </c>
      <c r="M26" s="7" t="s">
        <v>348</v>
      </c>
    </row>
    <row r="27" spans="1:13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 t="s">
        <v>350</v>
      </c>
      <c r="K27" s="7" t="s">
        <v>351</v>
      </c>
      <c r="L27" s="7" t="str">
        <f t="shared" si="0"/>
        <v>Chris Lee</v>
      </c>
      <c r="M27" s="7" t="s">
        <v>350</v>
      </c>
    </row>
    <row r="28" spans="1:13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 t="s">
        <v>340</v>
      </c>
      <c r="K28" s="7" t="s">
        <v>341</v>
      </c>
      <c r="L28" s="7" t="str">
        <f t="shared" si="0"/>
        <v>Eve Adams</v>
      </c>
      <c r="M28" s="7" t="s">
        <v>340</v>
      </c>
    </row>
    <row r="29" spans="1:13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 t="s">
        <v>342</v>
      </c>
      <c r="K29" s="7" t="s">
        <v>343</v>
      </c>
      <c r="L29" s="7" t="str">
        <f t="shared" si="0"/>
        <v>Alice Brown</v>
      </c>
      <c r="M29" s="7" t="s">
        <v>342</v>
      </c>
    </row>
    <row r="30" spans="1:13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 t="s">
        <v>344</v>
      </c>
      <c r="K30" s="7" t="s">
        <v>345</v>
      </c>
      <c r="L30" s="7" t="str">
        <f t="shared" si="0"/>
        <v>John Doe</v>
      </c>
      <c r="M30" s="7" t="s">
        <v>344</v>
      </c>
    </row>
    <row r="31" spans="1:13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 t="s">
        <v>352</v>
      </c>
      <c r="K31" s="7" t="s">
        <v>353</v>
      </c>
      <c r="L31" s="7" t="str">
        <f t="shared" si="0"/>
        <v>Bob Johnson</v>
      </c>
      <c r="M31" s="7" t="s">
        <v>352</v>
      </c>
    </row>
    <row r="32" spans="1:13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 t="s">
        <v>178</v>
      </c>
      <c r="K32" s="7" t="s">
        <v>358</v>
      </c>
      <c r="L32" s="7" t="str">
        <f t="shared" si="0"/>
        <v>Unknown</v>
      </c>
      <c r="M32" s="7" t="s">
        <v>178</v>
      </c>
    </row>
    <row r="33" spans="1:13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 t="s">
        <v>340</v>
      </c>
      <c r="K33" s="7" t="s">
        <v>341</v>
      </c>
      <c r="L33" s="7" t="str">
        <f t="shared" si="0"/>
        <v>Eve Adams</v>
      </c>
      <c r="M33" s="7" t="s">
        <v>340</v>
      </c>
    </row>
    <row r="34" spans="1:13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 t="s">
        <v>348</v>
      </c>
      <c r="K34" s="7" t="s">
        <v>349</v>
      </c>
      <c r="L34" s="7" t="str">
        <f t="shared" si="0"/>
        <v>Sam Wilson</v>
      </c>
      <c r="M34" s="7" t="s">
        <v>348</v>
      </c>
    </row>
    <row r="35" spans="1:13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 t="s">
        <v>350</v>
      </c>
      <c r="K35" s="7" t="s">
        <v>351</v>
      </c>
      <c r="L35" s="7" t="str">
        <f t="shared" si="0"/>
        <v>Chris Lee</v>
      </c>
      <c r="M35" s="7" t="s">
        <v>350</v>
      </c>
    </row>
    <row r="36" spans="1:13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 t="s">
        <v>344</v>
      </c>
      <c r="K36" s="7" t="s">
        <v>345</v>
      </c>
      <c r="L36" s="7" t="str">
        <f t="shared" si="0"/>
        <v>John Doe</v>
      </c>
      <c r="M36" s="7" t="s">
        <v>344</v>
      </c>
    </row>
    <row r="37" spans="1:13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 t="s">
        <v>342</v>
      </c>
      <c r="K37" s="7" t="s">
        <v>343</v>
      </c>
      <c r="L37" s="7" t="str">
        <f t="shared" si="0"/>
        <v>Alice Brown</v>
      </c>
      <c r="M37" s="7" t="s">
        <v>342</v>
      </c>
    </row>
    <row r="38" spans="1:13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 t="s">
        <v>342</v>
      </c>
      <c r="K38" s="7" t="s">
        <v>343</v>
      </c>
      <c r="L38" s="7" t="str">
        <f t="shared" si="0"/>
        <v>Alice Brown</v>
      </c>
      <c r="M38" s="7" t="s">
        <v>342</v>
      </c>
    </row>
    <row r="39" spans="1:13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 t="s">
        <v>342</v>
      </c>
      <c r="K39" s="7" t="s">
        <v>343</v>
      </c>
      <c r="L39" s="7" t="str">
        <f t="shared" si="0"/>
        <v>Alice Brown</v>
      </c>
      <c r="M39" s="7" t="s">
        <v>342</v>
      </c>
    </row>
    <row r="40" spans="1:13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 t="s">
        <v>344</v>
      </c>
      <c r="K40" s="7" t="s">
        <v>345</v>
      </c>
      <c r="L40" s="7" t="str">
        <f t="shared" si="0"/>
        <v>John Doe</v>
      </c>
      <c r="M40" s="7" t="s">
        <v>344</v>
      </c>
    </row>
    <row r="41" spans="1:13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 t="s">
        <v>350</v>
      </c>
      <c r="K41" s="7" t="s">
        <v>351</v>
      </c>
      <c r="L41" s="7" t="str">
        <f t="shared" si="0"/>
        <v>Chris Lee</v>
      </c>
      <c r="M41" s="7" t="s">
        <v>350</v>
      </c>
    </row>
    <row r="42" spans="1:13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 t="s">
        <v>352</v>
      </c>
      <c r="K42" s="7" t="s">
        <v>353</v>
      </c>
      <c r="L42" s="7" t="str">
        <f t="shared" si="0"/>
        <v>Bob Johnson</v>
      </c>
      <c r="M42" s="7" t="s">
        <v>352</v>
      </c>
    </row>
    <row r="43" spans="1:13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 t="s">
        <v>342</v>
      </c>
      <c r="K43" s="7" t="s">
        <v>343</v>
      </c>
      <c r="L43" s="7" t="str">
        <f t="shared" si="0"/>
        <v>Alice Brown</v>
      </c>
      <c r="M43" s="7" t="s">
        <v>342</v>
      </c>
    </row>
    <row r="44" spans="1:13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 t="s">
        <v>352</v>
      </c>
      <c r="K44" s="7" t="s">
        <v>353</v>
      </c>
      <c r="L44" s="7" t="str">
        <f t="shared" si="0"/>
        <v>Bob Johnson</v>
      </c>
      <c r="M44" s="7" t="s">
        <v>352</v>
      </c>
    </row>
    <row r="45" spans="1:13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 t="s">
        <v>342</v>
      </c>
      <c r="K45" s="7" t="s">
        <v>343</v>
      </c>
      <c r="L45" s="7" t="str">
        <f t="shared" si="0"/>
        <v>Alice Brown</v>
      </c>
      <c r="M45" s="7" t="s">
        <v>342</v>
      </c>
    </row>
    <row r="46" spans="1:13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 t="s">
        <v>350</v>
      </c>
      <c r="K46" s="7" t="s">
        <v>351</v>
      </c>
      <c r="L46" s="7" t="str">
        <f t="shared" si="0"/>
        <v>Chris Lee</v>
      </c>
      <c r="M46" s="7" t="s">
        <v>350</v>
      </c>
    </row>
    <row r="47" spans="1:13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 t="s">
        <v>178</v>
      </c>
      <c r="K47" s="7" t="s">
        <v>358</v>
      </c>
      <c r="L47" s="7" t="str">
        <f t="shared" si="0"/>
        <v>Unknown</v>
      </c>
      <c r="M47" s="7" t="s">
        <v>178</v>
      </c>
    </row>
    <row r="48" spans="1:13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 t="s">
        <v>350</v>
      </c>
      <c r="K48" s="7" t="s">
        <v>351</v>
      </c>
      <c r="L48" s="7" t="str">
        <f t="shared" si="0"/>
        <v>Chris Lee</v>
      </c>
      <c r="M48" s="7" t="s">
        <v>350</v>
      </c>
    </row>
    <row r="49" spans="1:13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 t="s">
        <v>350</v>
      </c>
      <c r="K49" s="7" t="s">
        <v>351</v>
      </c>
      <c r="L49" s="7" t="str">
        <f t="shared" si="0"/>
        <v>Chris Lee</v>
      </c>
      <c r="M49" s="7" t="s">
        <v>350</v>
      </c>
    </row>
    <row r="50" spans="1:13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 t="s">
        <v>344</v>
      </c>
      <c r="K50" s="7" t="s">
        <v>345</v>
      </c>
      <c r="L50" s="7" t="str">
        <f t="shared" si="0"/>
        <v>John Doe</v>
      </c>
      <c r="M50" s="7" t="s">
        <v>344</v>
      </c>
    </row>
    <row r="51" spans="1:13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 t="s">
        <v>340</v>
      </c>
      <c r="K51" s="7" t="s">
        <v>341</v>
      </c>
      <c r="L51" s="7" t="str">
        <f t="shared" si="0"/>
        <v>Eve Adams</v>
      </c>
      <c r="M51" s="7" t="s">
        <v>340</v>
      </c>
    </row>
    <row r="52" spans="1:13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 t="s">
        <v>350</v>
      </c>
      <c r="K52" s="7" t="s">
        <v>351</v>
      </c>
      <c r="L52" s="7" t="str">
        <f t="shared" si="0"/>
        <v>Chris Lee</v>
      </c>
      <c r="M52" s="7" t="s">
        <v>350</v>
      </c>
    </row>
    <row r="53" spans="1:13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 t="s">
        <v>348</v>
      </c>
      <c r="K53" s="7" t="s">
        <v>349</v>
      </c>
      <c r="L53" s="7" t="str">
        <f t="shared" si="0"/>
        <v>Sam Wilson</v>
      </c>
      <c r="M53" s="7" t="s">
        <v>348</v>
      </c>
    </row>
    <row r="54" spans="1:13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 t="s">
        <v>340</v>
      </c>
      <c r="K54" s="7" t="s">
        <v>341</v>
      </c>
      <c r="L54" s="7" t="str">
        <f t="shared" si="0"/>
        <v>Eve Adams</v>
      </c>
      <c r="M54" s="7" t="s">
        <v>340</v>
      </c>
    </row>
    <row r="55" spans="1:13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 t="s">
        <v>340</v>
      </c>
      <c r="K55" s="7" t="s">
        <v>341</v>
      </c>
      <c r="L55" s="7" t="str">
        <f t="shared" si="0"/>
        <v>Eve Adams</v>
      </c>
      <c r="M55" s="7" t="s">
        <v>340</v>
      </c>
    </row>
    <row r="56" spans="1:13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 t="s">
        <v>352</v>
      </c>
      <c r="K56" s="7" t="s">
        <v>353</v>
      </c>
      <c r="L56" s="7" t="str">
        <f t="shared" si="0"/>
        <v>Bob Johnson</v>
      </c>
      <c r="M56" s="7" t="s">
        <v>352</v>
      </c>
    </row>
    <row r="57" spans="1:13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 t="s">
        <v>350</v>
      </c>
      <c r="K57" s="7" t="s">
        <v>351</v>
      </c>
      <c r="L57" s="7" t="str">
        <f t="shared" si="0"/>
        <v>Chris Lee</v>
      </c>
      <c r="M57" s="7" t="s">
        <v>350</v>
      </c>
    </row>
    <row r="58" spans="1:13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 t="s">
        <v>344</v>
      </c>
      <c r="K58" s="7" t="s">
        <v>345</v>
      </c>
      <c r="L58" s="7" t="str">
        <f t="shared" si="0"/>
        <v>John Doe</v>
      </c>
      <c r="M58" s="7" t="s">
        <v>344</v>
      </c>
    </row>
    <row r="59" spans="1:13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 t="s">
        <v>340</v>
      </c>
      <c r="K59" s="7" t="s">
        <v>341</v>
      </c>
      <c r="L59" s="7" t="str">
        <f t="shared" si="0"/>
        <v>Eve Adams</v>
      </c>
      <c r="M59" s="7" t="s">
        <v>340</v>
      </c>
    </row>
    <row r="60" spans="1:13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 t="s">
        <v>348</v>
      </c>
      <c r="K60" s="7" t="s">
        <v>349</v>
      </c>
      <c r="L60" s="7" t="str">
        <f t="shared" si="0"/>
        <v>Sam Wilson</v>
      </c>
      <c r="M60" s="7" t="s">
        <v>348</v>
      </c>
    </row>
    <row r="61" spans="1:13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 t="s">
        <v>348</v>
      </c>
      <c r="K61" s="7" t="s">
        <v>349</v>
      </c>
      <c r="L61" s="7" t="str">
        <f t="shared" si="0"/>
        <v>Sam Wilson</v>
      </c>
      <c r="M61" s="7" t="s">
        <v>348</v>
      </c>
    </row>
    <row r="62" spans="1:13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 t="s">
        <v>178</v>
      </c>
      <c r="K62" s="7" t="s">
        <v>358</v>
      </c>
      <c r="L62" s="7" t="str">
        <f t="shared" si="0"/>
        <v>Unknown</v>
      </c>
      <c r="M62" s="7" t="s">
        <v>178</v>
      </c>
    </row>
    <row r="63" spans="1:13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 t="s">
        <v>340</v>
      </c>
      <c r="K63" s="7" t="s">
        <v>341</v>
      </c>
      <c r="L63" s="7" t="str">
        <f t="shared" si="0"/>
        <v>Eve Adams</v>
      </c>
      <c r="M63" s="7" t="s">
        <v>340</v>
      </c>
    </row>
    <row r="64" spans="1:13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 t="s">
        <v>350</v>
      </c>
      <c r="K64" s="7" t="s">
        <v>351</v>
      </c>
      <c r="L64" s="7" t="str">
        <f t="shared" si="0"/>
        <v>Chris Lee</v>
      </c>
      <c r="M64" s="7" t="s">
        <v>350</v>
      </c>
    </row>
    <row r="65" spans="1:13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 t="s">
        <v>340</v>
      </c>
      <c r="K65" s="7" t="s">
        <v>341</v>
      </c>
      <c r="L65" s="7" t="str">
        <f t="shared" si="0"/>
        <v>Eve Adams</v>
      </c>
      <c r="M65" s="7" t="s">
        <v>340</v>
      </c>
    </row>
    <row r="66" spans="1:13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 t="s">
        <v>344</v>
      </c>
      <c r="K66" s="7" t="s">
        <v>345</v>
      </c>
      <c r="L66" s="7" t="str">
        <f t="shared" si="0"/>
        <v>John Doe</v>
      </c>
      <c r="M66" s="7" t="s">
        <v>344</v>
      </c>
    </row>
    <row r="67" spans="1:13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 t="s">
        <v>348</v>
      </c>
      <c r="K67" s="7" t="s">
        <v>349</v>
      </c>
      <c r="L67" s="7" t="str">
        <f t="shared" ref="L67:L130" si="1">TRIM(B67)</f>
        <v>Sam Wilson</v>
      </c>
      <c r="M67" s="7" t="s">
        <v>348</v>
      </c>
    </row>
    <row r="68" spans="1:13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 t="s">
        <v>348</v>
      </c>
      <c r="K68" s="7" t="s">
        <v>349</v>
      </c>
      <c r="L68" s="7" t="str">
        <f t="shared" si="1"/>
        <v>Sam Wilson</v>
      </c>
      <c r="M68" s="7" t="s">
        <v>348</v>
      </c>
    </row>
    <row r="69" spans="1:13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 t="s">
        <v>342</v>
      </c>
      <c r="K69" s="7" t="s">
        <v>343</v>
      </c>
      <c r="L69" s="7" t="str">
        <f t="shared" si="1"/>
        <v>Alice Brown</v>
      </c>
      <c r="M69" s="7" t="s">
        <v>342</v>
      </c>
    </row>
    <row r="70" spans="1:13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 t="s">
        <v>348</v>
      </c>
      <c r="K70" s="7" t="s">
        <v>349</v>
      </c>
      <c r="L70" s="7" t="str">
        <f t="shared" si="1"/>
        <v>Sam Wilson</v>
      </c>
      <c r="M70" s="7" t="s">
        <v>348</v>
      </c>
    </row>
    <row r="71" spans="1:13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 t="s">
        <v>352</v>
      </c>
      <c r="K71" s="7" t="s">
        <v>353</v>
      </c>
      <c r="L71" s="7" t="str">
        <f t="shared" si="1"/>
        <v>Bob Johnson</v>
      </c>
      <c r="M71" s="7" t="s">
        <v>352</v>
      </c>
    </row>
    <row r="72" spans="1:13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 t="s">
        <v>340</v>
      </c>
      <c r="K72" s="7" t="s">
        <v>341</v>
      </c>
      <c r="L72" s="7" t="str">
        <f t="shared" si="1"/>
        <v>Eve Adams</v>
      </c>
      <c r="M72" s="7" t="s">
        <v>340</v>
      </c>
    </row>
    <row r="73" spans="1:13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 t="s">
        <v>340</v>
      </c>
      <c r="K73" s="7" t="s">
        <v>341</v>
      </c>
      <c r="L73" s="7" t="str">
        <f t="shared" si="1"/>
        <v>Eve Adams</v>
      </c>
      <c r="M73" s="7" t="s">
        <v>340</v>
      </c>
    </row>
    <row r="74" spans="1:13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 t="s">
        <v>352</v>
      </c>
      <c r="K74" s="7" t="s">
        <v>353</v>
      </c>
      <c r="L74" s="7" t="str">
        <f t="shared" si="1"/>
        <v>Bob Johnson</v>
      </c>
      <c r="M74" s="7" t="s">
        <v>352</v>
      </c>
    </row>
    <row r="75" spans="1:13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 t="s">
        <v>344</v>
      </c>
      <c r="K75" s="7" t="s">
        <v>345</v>
      </c>
      <c r="L75" s="7" t="str">
        <f t="shared" si="1"/>
        <v>John Doe</v>
      </c>
      <c r="M75" s="7" t="s">
        <v>344</v>
      </c>
    </row>
    <row r="76" spans="1:13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 t="s">
        <v>348</v>
      </c>
      <c r="K76" s="7" t="s">
        <v>349</v>
      </c>
      <c r="L76" s="7" t="str">
        <f t="shared" si="1"/>
        <v>Sam Wilson</v>
      </c>
      <c r="M76" s="7" t="s">
        <v>348</v>
      </c>
    </row>
    <row r="77" spans="1:13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 t="s">
        <v>178</v>
      </c>
      <c r="K77" s="7" t="s">
        <v>358</v>
      </c>
      <c r="L77" s="7" t="str">
        <f t="shared" si="1"/>
        <v>Unknown</v>
      </c>
      <c r="M77" s="7" t="s">
        <v>178</v>
      </c>
    </row>
    <row r="78" spans="1:13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 t="s">
        <v>340</v>
      </c>
      <c r="K78" s="7" t="s">
        <v>341</v>
      </c>
      <c r="L78" s="7" t="str">
        <f t="shared" si="1"/>
        <v>Eve Adams</v>
      </c>
      <c r="M78" s="7" t="s">
        <v>340</v>
      </c>
    </row>
    <row r="79" spans="1:13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 t="s">
        <v>346</v>
      </c>
      <c r="K79" s="7" t="s">
        <v>347</v>
      </c>
      <c r="L79" s="7" t="str">
        <f t="shared" si="1"/>
        <v>Jane Smith</v>
      </c>
      <c r="M79" s="7" t="s">
        <v>346</v>
      </c>
    </row>
    <row r="80" spans="1:13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 t="s">
        <v>348</v>
      </c>
      <c r="K80" s="7" t="s">
        <v>349</v>
      </c>
      <c r="L80" s="7" t="str">
        <f t="shared" si="1"/>
        <v>Sam Wilson</v>
      </c>
      <c r="M80" s="7" t="s">
        <v>348</v>
      </c>
    </row>
    <row r="81" spans="1:13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 t="s">
        <v>350</v>
      </c>
      <c r="K81" s="7" t="s">
        <v>351</v>
      </c>
      <c r="L81" s="7" t="str">
        <f t="shared" si="1"/>
        <v>Chris Lee</v>
      </c>
      <c r="M81" s="7" t="s">
        <v>350</v>
      </c>
    </row>
    <row r="82" spans="1:13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 t="s">
        <v>340</v>
      </c>
      <c r="K82" s="7" t="s">
        <v>341</v>
      </c>
      <c r="L82" s="7" t="str">
        <f t="shared" si="1"/>
        <v>Eve Adams</v>
      </c>
      <c r="M82" s="7" t="s">
        <v>340</v>
      </c>
    </row>
    <row r="83" spans="1:13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 t="s">
        <v>346</v>
      </c>
      <c r="K83" s="7" t="s">
        <v>347</v>
      </c>
      <c r="L83" s="7" t="str">
        <f t="shared" si="1"/>
        <v>Jane Smith</v>
      </c>
      <c r="M83" s="7" t="s">
        <v>346</v>
      </c>
    </row>
    <row r="84" spans="1:13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 t="s">
        <v>340</v>
      </c>
      <c r="K84" s="7" t="s">
        <v>341</v>
      </c>
      <c r="L84" s="7" t="str">
        <f t="shared" si="1"/>
        <v>Eve Adams</v>
      </c>
      <c r="M84" s="7" t="s">
        <v>340</v>
      </c>
    </row>
    <row r="85" spans="1:13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 t="s">
        <v>348</v>
      </c>
      <c r="K85" s="7" t="s">
        <v>349</v>
      </c>
      <c r="L85" s="7" t="str">
        <f t="shared" si="1"/>
        <v>Sam Wilson</v>
      </c>
      <c r="M85" s="7" t="s">
        <v>348</v>
      </c>
    </row>
    <row r="86" spans="1:13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 t="s">
        <v>344</v>
      </c>
      <c r="K86" s="7" t="s">
        <v>345</v>
      </c>
      <c r="L86" s="7" t="str">
        <f t="shared" si="1"/>
        <v>John Doe</v>
      </c>
      <c r="M86" s="7" t="s">
        <v>344</v>
      </c>
    </row>
    <row r="87" spans="1:13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 t="s">
        <v>350</v>
      </c>
      <c r="K87" s="7" t="s">
        <v>351</v>
      </c>
      <c r="L87" s="7" t="str">
        <f t="shared" si="1"/>
        <v>Chris Lee</v>
      </c>
      <c r="M87" s="7" t="s">
        <v>350</v>
      </c>
    </row>
    <row r="88" spans="1:13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 t="s">
        <v>350</v>
      </c>
      <c r="K88" s="7" t="s">
        <v>351</v>
      </c>
      <c r="L88" s="7" t="str">
        <f t="shared" si="1"/>
        <v>Chris Lee</v>
      </c>
      <c r="M88" s="7" t="s">
        <v>350</v>
      </c>
    </row>
    <row r="89" spans="1:13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 t="s">
        <v>348</v>
      </c>
      <c r="K89" s="7" t="s">
        <v>349</v>
      </c>
      <c r="L89" s="7" t="str">
        <f t="shared" si="1"/>
        <v>Sam Wilson</v>
      </c>
      <c r="M89" s="7" t="s">
        <v>348</v>
      </c>
    </row>
    <row r="90" spans="1:13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 t="s">
        <v>350</v>
      </c>
      <c r="K90" s="7" t="s">
        <v>351</v>
      </c>
      <c r="L90" s="7" t="str">
        <f t="shared" si="1"/>
        <v>Chris Lee</v>
      </c>
      <c r="M90" s="7" t="s">
        <v>350</v>
      </c>
    </row>
    <row r="91" spans="1:13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 t="s">
        <v>346</v>
      </c>
      <c r="K91" s="7" t="s">
        <v>347</v>
      </c>
      <c r="L91" s="7" t="str">
        <f t="shared" si="1"/>
        <v>Jane Smith</v>
      </c>
      <c r="M91" s="7" t="s">
        <v>346</v>
      </c>
    </row>
    <row r="92" spans="1:13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 t="s">
        <v>178</v>
      </c>
      <c r="K92" s="7" t="s">
        <v>358</v>
      </c>
      <c r="L92" s="7" t="str">
        <f t="shared" si="1"/>
        <v>Unknown</v>
      </c>
      <c r="M92" s="7" t="s">
        <v>178</v>
      </c>
    </row>
    <row r="93" spans="1:13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 t="s">
        <v>342</v>
      </c>
      <c r="K93" s="7" t="s">
        <v>343</v>
      </c>
      <c r="L93" s="7" t="str">
        <f t="shared" si="1"/>
        <v>Alice Brown</v>
      </c>
      <c r="M93" s="7" t="s">
        <v>342</v>
      </c>
    </row>
    <row r="94" spans="1:13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 t="s">
        <v>346</v>
      </c>
      <c r="K94" s="7" t="s">
        <v>347</v>
      </c>
      <c r="L94" s="7" t="str">
        <f t="shared" si="1"/>
        <v>Jane Smith</v>
      </c>
      <c r="M94" s="7" t="s">
        <v>346</v>
      </c>
    </row>
    <row r="95" spans="1:13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 t="s">
        <v>342</v>
      </c>
      <c r="K95" s="7" t="s">
        <v>343</v>
      </c>
      <c r="L95" s="7" t="str">
        <f t="shared" si="1"/>
        <v>Alice Brown</v>
      </c>
      <c r="M95" s="7" t="s">
        <v>342</v>
      </c>
    </row>
    <row r="96" spans="1:13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 t="s">
        <v>352</v>
      </c>
      <c r="K96" s="7" t="s">
        <v>353</v>
      </c>
      <c r="L96" s="7" t="str">
        <f t="shared" si="1"/>
        <v>Bob Johnson</v>
      </c>
      <c r="M96" s="7" t="s">
        <v>352</v>
      </c>
    </row>
    <row r="97" spans="1:13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 t="s">
        <v>342</v>
      </c>
      <c r="K97" s="7" t="s">
        <v>343</v>
      </c>
      <c r="L97" s="7" t="str">
        <f t="shared" si="1"/>
        <v>Alice Brown</v>
      </c>
      <c r="M97" s="7" t="s">
        <v>342</v>
      </c>
    </row>
    <row r="98" spans="1:13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 t="s">
        <v>346</v>
      </c>
      <c r="K98" s="7" t="s">
        <v>347</v>
      </c>
      <c r="L98" s="7" t="str">
        <f t="shared" si="1"/>
        <v>Jane Smith</v>
      </c>
      <c r="M98" s="7" t="s">
        <v>346</v>
      </c>
    </row>
    <row r="99" spans="1:13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 t="s">
        <v>348</v>
      </c>
      <c r="K99" s="7" t="s">
        <v>349</v>
      </c>
      <c r="L99" s="7" t="str">
        <f t="shared" si="1"/>
        <v>Sam Wilson</v>
      </c>
      <c r="M99" s="7" t="s">
        <v>348</v>
      </c>
    </row>
    <row r="100" spans="1:13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 t="s">
        <v>352</v>
      </c>
      <c r="K100" s="7" t="s">
        <v>353</v>
      </c>
      <c r="L100" s="7" t="str">
        <f t="shared" si="1"/>
        <v>Bob Johnson</v>
      </c>
      <c r="M100" s="7" t="s">
        <v>352</v>
      </c>
    </row>
    <row r="101" spans="1:13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 t="s">
        <v>340</v>
      </c>
      <c r="K101" s="7" t="s">
        <v>341</v>
      </c>
      <c r="L101" s="7" t="str">
        <f t="shared" si="1"/>
        <v>Eve Adams</v>
      </c>
      <c r="M101" s="7" t="s">
        <v>340</v>
      </c>
    </row>
    <row r="102" spans="1:13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 t="s">
        <v>352</v>
      </c>
      <c r="K102" s="7" t="s">
        <v>353</v>
      </c>
      <c r="L102" s="7" t="str">
        <f t="shared" si="1"/>
        <v>Bob Johnson</v>
      </c>
      <c r="M102" s="7" t="s">
        <v>352</v>
      </c>
    </row>
    <row r="103" spans="1:13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 t="s">
        <v>352</v>
      </c>
      <c r="K103" s="7" t="s">
        <v>353</v>
      </c>
      <c r="L103" s="7" t="str">
        <f t="shared" si="1"/>
        <v>Bob Johnson</v>
      </c>
      <c r="M103" s="7" t="s">
        <v>352</v>
      </c>
    </row>
    <row r="104" spans="1:13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 t="s">
        <v>342</v>
      </c>
      <c r="K104" s="7" t="s">
        <v>343</v>
      </c>
      <c r="L104" s="7" t="str">
        <f t="shared" si="1"/>
        <v>Alice Brown</v>
      </c>
      <c r="M104" s="7" t="s">
        <v>342</v>
      </c>
    </row>
    <row r="105" spans="1:13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 t="s">
        <v>342</v>
      </c>
      <c r="K105" s="7" t="s">
        <v>343</v>
      </c>
      <c r="L105" s="7" t="str">
        <f t="shared" si="1"/>
        <v>Alice Brown</v>
      </c>
      <c r="M105" s="7" t="s">
        <v>342</v>
      </c>
    </row>
    <row r="106" spans="1:13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 t="s">
        <v>346</v>
      </c>
      <c r="K106" s="7" t="s">
        <v>347</v>
      </c>
      <c r="L106" s="7" t="str">
        <f t="shared" si="1"/>
        <v>Jane Smith</v>
      </c>
      <c r="M106" s="7" t="s">
        <v>346</v>
      </c>
    </row>
    <row r="107" spans="1:13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 t="s">
        <v>178</v>
      </c>
      <c r="K107" s="7" t="s">
        <v>358</v>
      </c>
      <c r="L107" s="7" t="str">
        <f t="shared" si="1"/>
        <v>Unknown</v>
      </c>
      <c r="M107" s="7" t="s">
        <v>178</v>
      </c>
    </row>
    <row r="108" spans="1:13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 t="s">
        <v>340</v>
      </c>
      <c r="K108" s="7" t="s">
        <v>341</v>
      </c>
      <c r="L108" s="7" t="str">
        <f t="shared" si="1"/>
        <v>Eve Adams</v>
      </c>
      <c r="M108" s="7" t="s">
        <v>340</v>
      </c>
    </row>
    <row r="109" spans="1:13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 t="s">
        <v>348</v>
      </c>
      <c r="K109" s="7" t="s">
        <v>349</v>
      </c>
      <c r="L109" s="7" t="str">
        <f t="shared" si="1"/>
        <v>Sam Wilson</v>
      </c>
      <c r="M109" s="7" t="s">
        <v>348</v>
      </c>
    </row>
    <row r="110" spans="1:13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 t="s">
        <v>348</v>
      </c>
      <c r="K110" s="7" t="s">
        <v>349</v>
      </c>
      <c r="L110" s="7" t="str">
        <f t="shared" si="1"/>
        <v>Sam Wilson</v>
      </c>
      <c r="M110" s="7" t="s">
        <v>348</v>
      </c>
    </row>
    <row r="111" spans="1:13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 t="s">
        <v>346</v>
      </c>
      <c r="K111" s="7" t="s">
        <v>347</v>
      </c>
      <c r="L111" s="7" t="str">
        <f t="shared" si="1"/>
        <v>Jane Smith</v>
      </c>
      <c r="M111" s="7" t="s">
        <v>346</v>
      </c>
    </row>
    <row r="112" spans="1:13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 t="s">
        <v>350</v>
      </c>
      <c r="K112" s="7" t="s">
        <v>351</v>
      </c>
      <c r="L112" s="7" t="str">
        <f t="shared" si="1"/>
        <v>Chris Lee</v>
      </c>
      <c r="M112" s="7" t="s">
        <v>350</v>
      </c>
    </row>
    <row r="113" spans="1:13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 t="s">
        <v>350</v>
      </c>
      <c r="K113" s="7" t="s">
        <v>351</v>
      </c>
      <c r="L113" s="7" t="str">
        <f t="shared" si="1"/>
        <v>Chris Lee</v>
      </c>
      <c r="M113" s="7" t="s">
        <v>350</v>
      </c>
    </row>
    <row r="114" spans="1:13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 t="s">
        <v>340</v>
      </c>
      <c r="K114" s="7" t="s">
        <v>341</v>
      </c>
      <c r="L114" s="7" t="str">
        <f t="shared" si="1"/>
        <v>Eve Adams</v>
      </c>
      <c r="M114" s="7" t="s">
        <v>340</v>
      </c>
    </row>
    <row r="115" spans="1:13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 t="s">
        <v>342</v>
      </c>
      <c r="K115" s="7" t="s">
        <v>343</v>
      </c>
      <c r="L115" s="7" t="str">
        <f t="shared" si="1"/>
        <v>Alice Brown</v>
      </c>
      <c r="M115" s="7" t="s">
        <v>342</v>
      </c>
    </row>
    <row r="116" spans="1:13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 t="s">
        <v>340</v>
      </c>
      <c r="K116" s="7" t="s">
        <v>341</v>
      </c>
      <c r="L116" s="7" t="str">
        <f t="shared" si="1"/>
        <v>Eve Adams</v>
      </c>
      <c r="M116" s="7" t="s">
        <v>340</v>
      </c>
    </row>
    <row r="117" spans="1:13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 t="s">
        <v>352</v>
      </c>
      <c r="K117" s="7" t="s">
        <v>353</v>
      </c>
      <c r="L117" s="7" t="str">
        <f t="shared" si="1"/>
        <v>Bob Johnson</v>
      </c>
      <c r="M117" s="7" t="s">
        <v>352</v>
      </c>
    </row>
    <row r="118" spans="1:13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 t="s">
        <v>352</v>
      </c>
      <c r="K118" s="7" t="s">
        <v>353</v>
      </c>
      <c r="L118" s="7" t="str">
        <f t="shared" si="1"/>
        <v>Bob Johnson</v>
      </c>
      <c r="M118" s="7" t="s">
        <v>352</v>
      </c>
    </row>
    <row r="119" spans="1:13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 t="s">
        <v>352</v>
      </c>
      <c r="K119" s="7" t="s">
        <v>353</v>
      </c>
      <c r="L119" s="7" t="str">
        <f t="shared" si="1"/>
        <v>Bob Johnson</v>
      </c>
      <c r="M119" s="7" t="s">
        <v>352</v>
      </c>
    </row>
    <row r="120" spans="1:13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 t="s">
        <v>350</v>
      </c>
      <c r="K120" s="7" t="s">
        <v>351</v>
      </c>
      <c r="L120" s="7" t="str">
        <f t="shared" si="1"/>
        <v>Chris Lee</v>
      </c>
      <c r="M120" s="7" t="s">
        <v>350</v>
      </c>
    </row>
    <row r="121" spans="1:13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 t="s">
        <v>340</v>
      </c>
      <c r="K121" s="7" t="s">
        <v>341</v>
      </c>
      <c r="L121" s="7" t="str">
        <f t="shared" si="1"/>
        <v>Eve Adams</v>
      </c>
      <c r="M121" s="7" t="s">
        <v>340</v>
      </c>
    </row>
    <row r="122" spans="1:13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 t="s">
        <v>178</v>
      </c>
      <c r="K122" s="7" t="s">
        <v>358</v>
      </c>
      <c r="L122" s="7" t="str">
        <f t="shared" si="1"/>
        <v>Unknown</v>
      </c>
      <c r="M122" s="7" t="s">
        <v>178</v>
      </c>
    </row>
    <row r="123" spans="1:13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 t="s">
        <v>350</v>
      </c>
      <c r="K123" s="7" t="s">
        <v>351</v>
      </c>
      <c r="L123" s="7" t="str">
        <f t="shared" si="1"/>
        <v>Chris Lee</v>
      </c>
      <c r="M123" s="7" t="s">
        <v>350</v>
      </c>
    </row>
    <row r="124" spans="1:13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 t="s">
        <v>352</v>
      </c>
      <c r="K124" s="7" t="s">
        <v>353</v>
      </c>
      <c r="L124" s="7" t="str">
        <f t="shared" si="1"/>
        <v>Bob Johnson</v>
      </c>
      <c r="M124" s="7" t="s">
        <v>352</v>
      </c>
    </row>
    <row r="125" spans="1:13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 t="s">
        <v>346</v>
      </c>
      <c r="K125" s="7" t="s">
        <v>347</v>
      </c>
      <c r="L125" s="7" t="str">
        <f t="shared" si="1"/>
        <v>Jane Smith</v>
      </c>
      <c r="M125" s="7" t="s">
        <v>346</v>
      </c>
    </row>
    <row r="126" spans="1:13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 t="s">
        <v>344</v>
      </c>
      <c r="K126" s="7" t="s">
        <v>345</v>
      </c>
      <c r="L126" s="7" t="str">
        <f t="shared" si="1"/>
        <v>John Doe</v>
      </c>
      <c r="M126" s="7" t="s">
        <v>344</v>
      </c>
    </row>
    <row r="127" spans="1:13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 t="s">
        <v>344</v>
      </c>
      <c r="K127" s="7" t="s">
        <v>345</v>
      </c>
      <c r="L127" s="7" t="str">
        <f t="shared" si="1"/>
        <v>John Doe</v>
      </c>
      <c r="M127" s="7" t="s">
        <v>344</v>
      </c>
    </row>
    <row r="128" spans="1:13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 t="s">
        <v>352</v>
      </c>
      <c r="K128" s="7" t="s">
        <v>353</v>
      </c>
      <c r="L128" s="7" t="str">
        <f t="shared" si="1"/>
        <v>Bob Johnson</v>
      </c>
      <c r="M128" s="7" t="s">
        <v>352</v>
      </c>
    </row>
    <row r="129" spans="1:13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 t="s">
        <v>344</v>
      </c>
      <c r="K129" s="7" t="s">
        <v>345</v>
      </c>
      <c r="L129" s="7" t="str">
        <f t="shared" si="1"/>
        <v>John Doe</v>
      </c>
      <c r="M129" s="7" t="s">
        <v>344</v>
      </c>
    </row>
    <row r="130" spans="1:13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 t="s">
        <v>350</v>
      </c>
      <c r="K130" s="7" t="s">
        <v>351</v>
      </c>
      <c r="L130" s="7" t="str">
        <f t="shared" si="1"/>
        <v>Chris Lee</v>
      </c>
      <c r="M130" s="7" t="s">
        <v>350</v>
      </c>
    </row>
    <row r="131" spans="1:13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 t="s">
        <v>352</v>
      </c>
      <c r="K131" s="7" t="s">
        <v>353</v>
      </c>
      <c r="L131" s="7" t="str">
        <f t="shared" ref="L131:L151" si="2">TRIM(B131)</f>
        <v>Bob Johnson</v>
      </c>
      <c r="M131" s="7" t="s">
        <v>352</v>
      </c>
    </row>
    <row r="132" spans="1:13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 t="s">
        <v>342</v>
      </c>
      <c r="K132" s="7" t="s">
        <v>343</v>
      </c>
      <c r="L132" s="7" t="str">
        <f t="shared" si="2"/>
        <v>Alice Brown</v>
      </c>
      <c r="M132" s="7" t="s">
        <v>342</v>
      </c>
    </row>
    <row r="133" spans="1:13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 t="s">
        <v>348</v>
      </c>
      <c r="K133" s="7" t="s">
        <v>349</v>
      </c>
      <c r="L133" s="7" t="str">
        <f t="shared" si="2"/>
        <v>Sam Wilson</v>
      </c>
      <c r="M133" s="7" t="s">
        <v>348</v>
      </c>
    </row>
    <row r="134" spans="1:13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 t="s">
        <v>340</v>
      </c>
      <c r="K134" s="7" t="s">
        <v>341</v>
      </c>
      <c r="L134" s="7" t="str">
        <f t="shared" si="2"/>
        <v>Eve Adams</v>
      </c>
      <c r="M134" s="7" t="s">
        <v>340</v>
      </c>
    </row>
    <row r="135" spans="1:13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 t="s">
        <v>350</v>
      </c>
      <c r="K135" s="7" t="s">
        <v>351</v>
      </c>
      <c r="L135" s="7" t="str">
        <f t="shared" si="2"/>
        <v>Chris Lee</v>
      </c>
      <c r="M135" s="7" t="s">
        <v>350</v>
      </c>
    </row>
    <row r="136" spans="1:13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 t="s">
        <v>340</v>
      </c>
      <c r="K136" s="7" t="s">
        <v>341</v>
      </c>
      <c r="L136" s="7" t="str">
        <f t="shared" si="2"/>
        <v>Eve Adams</v>
      </c>
      <c r="M136" s="7" t="s">
        <v>340</v>
      </c>
    </row>
    <row r="137" spans="1:13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 t="s">
        <v>178</v>
      </c>
      <c r="K137" s="7" t="s">
        <v>358</v>
      </c>
      <c r="L137" s="7" t="str">
        <f t="shared" si="2"/>
        <v>Unknown</v>
      </c>
      <c r="M137" s="7" t="s">
        <v>178</v>
      </c>
    </row>
    <row r="138" spans="1:13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 t="s">
        <v>346</v>
      </c>
      <c r="K138" s="7" t="s">
        <v>347</v>
      </c>
      <c r="L138" s="7" t="str">
        <f t="shared" si="2"/>
        <v>Jane Smith</v>
      </c>
      <c r="M138" s="7" t="s">
        <v>346</v>
      </c>
    </row>
    <row r="139" spans="1:13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 t="s">
        <v>350</v>
      </c>
      <c r="K139" s="7" t="s">
        <v>351</v>
      </c>
      <c r="L139" s="7" t="str">
        <f t="shared" si="2"/>
        <v>Chris Lee</v>
      </c>
      <c r="M139" s="7" t="s">
        <v>350</v>
      </c>
    </row>
    <row r="140" spans="1:13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 t="s">
        <v>350</v>
      </c>
      <c r="K140" s="7" t="s">
        <v>351</v>
      </c>
      <c r="L140" s="7" t="str">
        <f t="shared" si="2"/>
        <v>Chris Lee</v>
      </c>
      <c r="M140" s="7" t="s">
        <v>350</v>
      </c>
    </row>
    <row r="141" spans="1:13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 t="s">
        <v>352</v>
      </c>
      <c r="K141" s="7" t="s">
        <v>353</v>
      </c>
      <c r="L141" s="7" t="str">
        <f t="shared" si="2"/>
        <v>Bob Johnson</v>
      </c>
      <c r="M141" s="7" t="s">
        <v>352</v>
      </c>
    </row>
    <row r="142" spans="1:13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 t="s">
        <v>350</v>
      </c>
      <c r="K142" s="7" t="s">
        <v>351</v>
      </c>
      <c r="L142" s="7" t="str">
        <f t="shared" si="2"/>
        <v>Chris Lee</v>
      </c>
      <c r="M142" s="7" t="s">
        <v>350</v>
      </c>
    </row>
    <row r="143" spans="1:13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 t="s">
        <v>346</v>
      </c>
      <c r="K143" s="7" t="s">
        <v>347</v>
      </c>
      <c r="L143" s="7" t="str">
        <f t="shared" si="2"/>
        <v>Jane Smith</v>
      </c>
      <c r="M143" s="7" t="s">
        <v>346</v>
      </c>
    </row>
    <row r="144" spans="1:13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 t="s">
        <v>342</v>
      </c>
      <c r="K144" s="7" t="s">
        <v>343</v>
      </c>
      <c r="L144" s="7" t="str">
        <f t="shared" si="2"/>
        <v>Alice Brown</v>
      </c>
      <c r="M144" s="7" t="s">
        <v>342</v>
      </c>
    </row>
    <row r="145" spans="1:13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 t="s">
        <v>350</v>
      </c>
      <c r="K145" s="7" t="s">
        <v>351</v>
      </c>
      <c r="L145" s="7" t="str">
        <f t="shared" si="2"/>
        <v>Chris Lee</v>
      </c>
      <c r="M145" s="7" t="s">
        <v>350</v>
      </c>
    </row>
    <row r="146" spans="1:13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 t="s">
        <v>340</v>
      </c>
      <c r="K146" s="7" t="s">
        <v>341</v>
      </c>
      <c r="L146" s="7" t="str">
        <f t="shared" si="2"/>
        <v>Eve Adams</v>
      </c>
      <c r="M146" s="7" t="s">
        <v>340</v>
      </c>
    </row>
    <row r="147" spans="1:13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 t="s">
        <v>348</v>
      </c>
      <c r="K147" s="7" t="s">
        <v>349</v>
      </c>
      <c r="L147" s="7" t="str">
        <f t="shared" si="2"/>
        <v>Sam Wilson</v>
      </c>
      <c r="M147" s="7" t="s">
        <v>348</v>
      </c>
    </row>
    <row r="148" spans="1:13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 t="s">
        <v>344</v>
      </c>
      <c r="K148" s="7" t="s">
        <v>345</v>
      </c>
      <c r="L148" s="7" t="str">
        <f t="shared" si="2"/>
        <v>John Doe</v>
      </c>
      <c r="M148" s="7" t="s">
        <v>344</v>
      </c>
    </row>
    <row r="149" spans="1:13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 t="s">
        <v>352</v>
      </c>
      <c r="K149" s="7" t="s">
        <v>353</v>
      </c>
      <c r="L149" s="7" t="str">
        <f t="shared" si="2"/>
        <v>Bob Johnson</v>
      </c>
      <c r="M149" s="7" t="s">
        <v>352</v>
      </c>
    </row>
    <row r="150" spans="1:13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 t="s">
        <v>352</v>
      </c>
      <c r="K150" s="7" t="s">
        <v>353</v>
      </c>
      <c r="L150" s="7" t="str">
        <f t="shared" si="2"/>
        <v>Bob Johnson</v>
      </c>
      <c r="M150" s="7" t="s">
        <v>352</v>
      </c>
    </row>
    <row r="151" spans="1:13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 t="s">
        <v>348</v>
      </c>
      <c r="K151" s="7" t="s">
        <v>349</v>
      </c>
      <c r="L151" s="7" t="str">
        <f t="shared" si="2"/>
        <v>Sam Wilson</v>
      </c>
      <c r="M151" s="7" t="s">
        <v>348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4E9A-72B4-4D5C-AFAE-D28EF2D27B9C}">
  <sheetPr>
    <tabColor theme="8"/>
  </sheetPr>
  <dimension ref="I6:J11"/>
  <sheetViews>
    <sheetView tabSelected="1" workbookViewId="0">
      <selection activeCell="N10" sqref="N10"/>
    </sheetView>
  </sheetViews>
  <sheetFormatPr defaultRowHeight="14.4" x14ac:dyDescent="0.3"/>
  <cols>
    <col min="10" max="10" width="71.6640625" customWidth="1"/>
  </cols>
  <sheetData>
    <row r="6" spans="9:10" ht="30" customHeight="1" x14ac:dyDescent="0.3">
      <c r="I6" s="15"/>
      <c r="J6" s="15" t="s">
        <v>359</v>
      </c>
    </row>
    <row r="7" spans="9:10" ht="30" customHeight="1" x14ac:dyDescent="0.3">
      <c r="I7" s="16" t="s">
        <v>282</v>
      </c>
      <c r="J7" s="16" t="s">
        <v>283</v>
      </c>
    </row>
    <row r="8" spans="9:10" ht="30" customHeight="1" x14ac:dyDescent="0.3">
      <c r="I8" s="14">
        <v>1</v>
      </c>
      <c r="J8" s="14" t="s">
        <v>360</v>
      </c>
    </row>
    <row r="9" spans="9:10" ht="30" customHeight="1" x14ac:dyDescent="0.3">
      <c r="I9" s="14">
        <v>2</v>
      </c>
      <c r="J9" s="14" t="s">
        <v>361</v>
      </c>
    </row>
    <row r="10" spans="9:10" ht="30" customHeight="1" x14ac:dyDescent="0.3">
      <c r="I10" s="14">
        <v>3</v>
      </c>
      <c r="J10" s="14" t="s">
        <v>362</v>
      </c>
    </row>
    <row r="11" spans="9:10" ht="30" customHeight="1" x14ac:dyDescent="0.3">
      <c r="I11" s="14">
        <v>4</v>
      </c>
      <c r="J11" s="14" t="s">
        <v>363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EA3A2-3CD2-47CC-BB8B-32ABED5F4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  <vt:lpstr>Day-5 Clean Dataset</vt:lpstr>
      <vt:lpstr>Day-5 Observations</vt:lpstr>
      <vt:lpstr>Day-6 Clean Dataset</vt:lpstr>
      <vt:lpstr>Day-6 Observations</vt:lpstr>
      <vt:lpstr>Day-7 Clean Dataset</vt:lpstr>
      <vt:lpstr>Day-7 Power Query</vt:lpstr>
      <vt:lpstr>Day-7 Observations</vt:lpstr>
      <vt:lpstr>Day-8 Clean Dataset</vt:lpstr>
      <vt:lpstr>Day-8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2026-09-23T11:13:50Z</dcterms:modified>
</cp:coreProperties>
</file>