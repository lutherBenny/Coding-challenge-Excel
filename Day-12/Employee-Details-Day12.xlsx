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C8E9C7BD-2E70-463F-ABE9-B62792DEA29B}" xr6:coauthVersionLast="47" xr6:coauthVersionMax="47" xr10:uidLastSave="{00000000-0000-0000-0000-000000000000}"/>
  <bookViews>
    <workbookView xWindow="-108" yWindow="-108" windowWidth="23256" windowHeight="12456" firstSheet="23" activeTab="26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  <sheet name="Day-9 Clean Dataset" sheetId="21" r:id="rId19"/>
    <sheet name="Day-9 Observations" sheetId="22" r:id="rId20"/>
    <sheet name="Day-10 Clean Dataset" sheetId="23" r:id="rId21"/>
    <sheet name="Day-10 Descriptive Statistics" sheetId="25" r:id="rId22"/>
    <sheet name="Day-10 Observations" sheetId="24" r:id="rId23"/>
    <sheet name="Day-11 Clean Dataset" sheetId="26" r:id="rId24"/>
    <sheet name="Day-11 Observations" sheetId="27" r:id="rId25"/>
    <sheet name="Day-12 Clean Dataset" sheetId="28" r:id="rId26"/>
    <sheet name="Day-12 Observations" sheetId="29" r:id="rId27"/>
  </sheets>
  <definedNames>
    <definedName name="_xlnm._FilterDatabase" localSheetId="23" hidden="1">'Day-11 Clean Dataset'!$A$1:$I$151</definedName>
    <definedName name="_xlnm._FilterDatabase" localSheetId="25" hidden="1">'Day-12 Clean Dataset'!$A$1:$I$151</definedName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8" l="1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38" i="28"/>
  <c r="M139" i="28"/>
  <c r="M140" i="28"/>
  <c r="M141" i="28"/>
  <c r="M142" i="28"/>
  <c r="M143" i="28"/>
  <c r="M144" i="28"/>
  <c r="M145" i="28"/>
  <c r="M146" i="28"/>
  <c r="M147" i="28"/>
  <c r="M148" i="28"/>
  <c r="M149" i="28"/>
  <c r="M150" i="28"/>
  <c r="M151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142" i="28"/>
  <c r="L143" i="28"/>
  <c r="L144" i="28"/>
  <c r="L145" i="28"/>
  <c r="L146" i="28"/>
  <c r="L147" i="28"/>
  <c r="L148" i="28"/>
  <c r="L149" i="28"/>
  <c r="L150" i="28"/>
  <c r="L151" i="28"/>
  <c r="N2" i="28"/>
  <c r="M2" i="28"/>
  <c r="L2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3" i="28"/>
  <c r="O2" i="28"/>
  <c r="K2" i="28"/>
  <c r="J2" i="28"/>
  <c r="L2" i="23" a="1"/>
  <c r="L2" i="23" s="1"/>
  <c r="K2" i="23" a="1"/>
  <c r="K2" i="23" s="1"/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<sst xmlns="http://schemas.openxmlformats.org/spreadsheetml/2006/main" count="13236" uniqueCount="408">
  <si>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</si>
  <si>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</si>
  <si>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</si>
  <si>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</si>
  <si>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</si>
  <si>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</si>
  <si>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</si>
  <si>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</si>
  <si>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</si>
  <si>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</si>
  <si>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</si>
  <si>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</si>
  <si>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</si>
  <si>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</si>
  <si>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</si>
  <si>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</si>
  <si>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</si>
  <si>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</si>
  <si>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</si>
  <si>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</si>
  <si>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</si>
  <si>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</si>
  <si>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</si>
  <si>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</si>
  <si>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</si>
  <si>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</si>
  <si>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</si>
  <si>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</si>
  <si>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</si>
  <si>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</si>
  <si>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</si>
  <si>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</si>
  <si>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</si>
  <si>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</si>
  <si>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</si>
  <si>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</si>
  <si>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</si>
  <si>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</si>
  <si>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</si>
  <si>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</si>
  <si>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</si>
  <si>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</si>
  <si>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</si>
  <si>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</si>
  <si>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</si>
  <si>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</si>
  <si>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</si>
  <si>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</si>
  <si>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</si>
  <si>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</si>
  <si>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</si>
  <si>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</si>
  <si>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</si>
  <si>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</si>
  <si>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</si>
  <si>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</si>
  <si>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</si>
  <si>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</si>
  <si>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</si>
  <si>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</si>
  <si>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</si>
  <si>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</si>
  <si>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</si>
  <si>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</si>
  <si>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</si>
  <si>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</si>
  <si>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</si>
  <si>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</si>
  <si>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</si>
  <si>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</si>
  <si>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</si>
  <si>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</si>
  <si>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</si>
  <si>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</si>
  <si>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</si>
  <si>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</si>
  <si>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</si>
  <si>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</si>
  <si>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</si>
  <si>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</si>
  <si>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</si>
  <si>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</si>
  <si>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</si>
  <si>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</si>
  <si>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</si>
  <si>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</si>
  <si>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</si>
  <si>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</si>
  <si>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</si>
  <si>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</si>
  <si>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</si>
  <si>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</si>
  <si>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</si>
  <si>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</si>
  <si>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</si>
  <si>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</si>
  <si>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</si>
  <si>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</si>
  <si>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</si>
  <si>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</si>
  <si>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</si>
  <si>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</si>
  <si>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</si>
  <si>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</si>
  <si>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</si>
  <si>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</si>
  <si>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</si>
  <si>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</si>
  <si>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</si>
  <si>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</si>
  <si>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</si>
  <si>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</si>
  <si>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</si>
  <si>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</si>
  <si>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</si>
  <si>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</si>
  <si>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</si>
  <si>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</si>
  <si>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</si>
  <si>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</si>
  <si>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</si>
  <si>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</si>
  <si>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</si>
  <si>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</si>
  <si>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</si>
  <si>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</si>
  <si>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</si>
  <si>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</si>
  <si>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</si>
  <si>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</si>
  <si>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</si>
  <si>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</si>
  <si>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</si>
  <si>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</si>
  <si>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</si>
  <si>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</si>
  <si>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</si>
  <si>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</si>
  <si>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</si>
  <si>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</si>
  <si>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</si>
  <si>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</si>
  <si>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</si>
  <si>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</si>
  <si>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</si>
  <si>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</si>
  <si>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</si>
  <si>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</si>
  <si>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</si>
  <si>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</si>
  <si>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</si>
  <si>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</si>
  <si>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</si>
  <si>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</si>
  <si>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</si>
  <si>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</si>
  <si>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</si>
  <si>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</si>
  <si>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</si>
  <si>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</si>
  <si>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</si>
  <si>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</si>
  <si>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</si>
  <si>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</si>
  <si>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</si>
  <si>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</si>
  <si>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</si>
  <si>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</si>
  <si>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</si>
  <si>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</si>
  <si>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</si>
  <si>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</si>
  <si>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</si>
  <si>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</si>
  <si>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</si>
  <si>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</si>
  <si>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</si>
  <si>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</si>
  <si>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</si>
  <si>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</si>
  <si>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</si>
  <si>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</si>
  <si>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</si>
  <si>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</si>
  <si>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</si>
  <si>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</si>
  <si>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</si>
  <si>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</si>
  <si>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</si>
  <si>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</si>
  <si>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</si>
  <si>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</si>
  <si>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</si>
  <si>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</si>
  <si>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</si>
  <si>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</si>
  <si>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</si>
  <si>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</si>
  <si>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</si>
  <si>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</si>
  <si>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</si>
  <si>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</si>
  <si>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</si>
  <si>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</si>
  <si>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</si>
  <si>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</si>
  <si>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</si>
  <si>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</si>
  <si>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</si>
  <si>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</si>
  <si>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</si>
  <si>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</si>
  <si>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</si>
  <si>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</si>
  <si>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</si>
  <si>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</si>
  <si>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</si>
  <si>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</si>
  <si>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</si>
  <si>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</si>
  <si>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</si>
  <si>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</si>
  <si>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</si>
  <si>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</si>
  <si>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</si>
  <si>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</si>
  <si>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</si>
  <si>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</si>
  <si>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</si>
  <si>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</si>
  <si>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</si>
  <si>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</si>
  <si>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</si>
  <si>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</si>
  <si>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</si>
  <si>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</si>
  <si>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</si>
  <si>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</si>
  <si>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</si>
  <si>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</si>
  <si>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</si>
  <si>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</si>
  <si>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</si>
  <si>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</si>
  <si>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</si>
  <si>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</si>
  <si>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</si>
  <si>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</si>
  <si>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</si>
  <si>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</si>
  <si>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</si>
  <si>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</si>
  <si>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</si>
  <si>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</si>
  <si>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</si>
  <si>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</si>
  <si>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</si>
  <si>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</si>
  <si>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</si>
  <si>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</si>
  <si>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</si>
  <si>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</si>
  <si>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</si>
  <si>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</si>
  <si>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</si>
  <si>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</si>
  <si>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</si>
  <si>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</si>
  <si>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</si>
  <si>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</si>
  <si>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</si>
  <si>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</si>
  <si>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</si>
  <si>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</si>
  <si>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</si>
  <si>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</si>
  <si>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</si>
  <si>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</si>
  <si>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</si>
  <si>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</si>
  <si>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</si>
  <si>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</si>
  <si>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</si>
  <si>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</si>
  <si>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</si>
  <si>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</si>
  <si>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</si>
  <si>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</si>
  <si>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</si>
  <si>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</si>
  <si>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</si>
  <si>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</si>
  <si>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</si>
  <si>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</si>
  <si>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</si>
  <si>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</si>
  <si>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</si>
  <si>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</si>
  <si>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</si>
  <si>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</si>
  <si>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</si>
  <si>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</si>
  <si>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</si>
  <si>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</si>
  <si>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</si>
  <si>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</si>
  <si>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</si>
  <si>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</si>
  <si>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</si>
  <si>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</si>
  <si>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</si>
  <si>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</si>
  <si>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</si>
  <si>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</si>
  <si>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</si>
  <si>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</si>
  <si>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</si>
  <si>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</si>
  <si>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</si>
  <si>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</si>
  <si>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</si>
  <si>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</si>
  <si>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</si>
  <si>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</si>
  <si>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</si>
  <si>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</si>
  <si>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</si>
  <si>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</si>
  <si>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</si>
  <si>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</si>
  <si>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</si>
  <si>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</si>
  <si>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</si>
  <si>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</si>
  <si>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</si>
  <si>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</si>
  <si>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</si>
  <si>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</si>
  <si>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</si>
  <si>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</si>
  <si>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</si>
  <si>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</si>
  <si>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</si>
  <si>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</si>
  <si>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</si>
  <si>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</si>
  <si>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</si>
  <si>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</si>
  <si>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</si>
  <si>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</si>
  <si>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</si>
  <si>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</si>
  <si>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</si>
  <si>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</si>
  <si>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</si>
  <si>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</si>
  <si>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</si>
  <si>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</si>
  <si>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</si>
  <si>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</si>
  <si>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</si>
  <si>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</si>
  <si>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</si>
  <si>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</si>
  <si>
    <t>Day 9 – Conditional Formatting for Data Cleaning</t>
  </si>
  <si>
    <t>Duplicate values were checked in the Employee ID column, and no duplicate Employee IDs were found.</t>
  </si>
  <si>
    <t>Salary values greater than 90,000 were highlighted to flag potential high-value outliers.</t>
  </si>
  <si>
    <t>Color-based formatting made potential data-quality issues easier to identify visually.</t>
  </si>
  <si>
    <t>Conditional Formatting was used to visually highlight missing or unavailable values represented by Unknown.</t>
  </si>
  <si>
    <t>Numeric 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</si>
  <si>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</si>
  <si>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</si>
  <si>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</si>
  <si>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</si>
  <si>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</si>
  <si>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</si>
  <si>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</si>
  <si>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</si>
  <si>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</si>
  <si>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</si>
  <si>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</si>
  <si>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</si>
  <si>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Numeric Performance Rating</t>
  </si>
  <si>
    <t>Day 10 – Descriptive Statistics</t>
  </si>
  <si>
    <t>Descriptive Statistics was generated for the Salary column using the Analysis ToolPak.</t>
  </si>
  <si>
    <t>The Salary data had a Mean of 66,280.93 and a Median of 66,637.</t>
  </si>
  <si>
    <t>The Standard Deviation of Salary was 21,632.65, based on 142 numeric salary values.</t>
  </si>
  <si>
    <t>Descriptive Statistics was also generated for Performance Rating, with a Mean of 2.872, Median of 3, and Standard Deviation of 1.4432.</t>
  </si>
  <si>
    <t>Top 5 Performers</t>
  </si>
  <si>
    <t>Bottom 5 Performers</t>
  </si>
  <si>
    <t>Day 11 – Filtering, Sorting &amp; Exploring Data</t>
  </si>
  <si>
    <t>1. The Top 5 performers all have a Performance Rating of 5.</t>
  </si>
  <si>
    <t>2. The Bottom 5 performers all have a Performance Rating of 1.</t>
  </si>
  <si>
    <t>3. Performance Rating values range from 1 to 5 among the numeric ratings.</t>
  </si>
  <si>
    <t>4. Some employee records contain Unknown values in other fields such as Department, Country, Salary, Gender, or Email.</t>
  </si>
  <si>
    <t>Observations</t>
  </si>
  <si>
    <t>TODAY</t>
  </si>
  <si>
    <t>NOW</t>
  </si>
  <si>
    <t>Joining Year</t>
  </si>
  <si>
    <t>Weekday</t>
  </si>
  <si>
    <t>Years of Service</t>
  </si>
  <si>
    <t>Joining Month</t>
  </si>
  <si>
    <t>Day 12 – Date &amp; Time Functions</t>
  </si>
  <si>
    <t>1. TODAY() was used to display the current date.</t>
  </si>
  <si>
    <t>2. NOW() was used to display the current date and time.</t>
  </si>
  <si>
    <t>3. YEAR(), MONTH(), and WEEKDAY() were used to extract year, month, and weekday values from Date of Joining.</t>
  </si>
  <si>
    <t>4. DATEDIF() was used with TODAY() to calculate completed years of service, while Unknown values were handled separately.</t>
  </si>
  <si>
    <t>Observations.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</si>
</sst>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3" fillId="0" borderId="0" xfId="0" applyFont="1"/>
    <xf numFmtId="0" fontId="3" fillId="4" borderId="1" xfId="2" applyFont="1" applyBorder="1" applyAlignment="1">
      <alignment horizontal="center" vertical="center"/>
    </xf>
    <xf numFmtId="0" fontId="3" fillId="5" borderId="1" xfId="3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 wrapText="1"/>
    </xf>
    <xf numFmtId="0" fontId="3" fillId="6" borderId="1" xfId="4" applyFont="1" applyBorder="1" applyAlignment="1">
      <alignment horizontal="center" vertical="center" wrapText="1"/>
    </xf>
    <xf numFmtId="0" fontId="2" fillId="2" borderId="1" xfId="1" applyBorder="1" applyAlignment="1">
      <alignment horizontal="center" vertical="center"/>
    </xf>
    <xf numFmtId="164" fontId="2" fillId="2" borderId="1" xfId="1" applyNumberFormat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164" fontId="2" fillId="0" borderId="0" xfId="1" applyNumberFormat="1" applyFill="1" applyBorder="1" applyAlignment="1">
      <alignment horizontal="center" vertical="center"/>
    </xf>
    <xf numFmtId="0" fontId="4" fillId="7" borderId="1" xfId="5" applyFont="1" applyBorder="1" applyAlignment="1">
      <alignment horizontal="center" vertical="center"/>
    </xf>
    <xf numFmtId="0" fontId="3" fillId="7" borderId="1" xfId="5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5" borderId="4" xfId="3" applyFont="1" applyBorder="1" applyAlignment="1">
      <alignment horizontal="center" vertical="center"/>
    </xf>
    <xf numFmtId="0" fontId="4" fillId="5" borderId="5" xfId="3" applyFont="1" applyBorder="1" applyAlignment="1">
      <alignment horizontal="center" vertical="center"/>
    </xf>
    <xf numFmtId="0" fontId="4" fillId="5" borderId="6" xfId="3" applyFont="1" applyBorder="1" applyAlignment="1">
      <alignment horizontal="center" vertical="center"/>
    </xf>
    <xf numFmtId="0" fontId="4" fillId="5" borderId="7" xfId="3" applyFont="1" applyBorder="1" applyAlignment="1">
      <alignment horizontal="center" vertical="center"/>
    </xf>
    <xf numFmtId="0" fontId="4" fillId="4" borderId="1" xfId="2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2" borderId="4" xfId="1" applyFont="1" applyBorder="1" applyAlignment="1">
      <alignment horizontal="center" vertical="center"/>
    </xf>
    <xf numFmtId="0" fontId="1" fillId="2" borderId="8" xfId="1" applyFont="1" applyBorder="1" applyAlignment="1">
      <alignment horizontal="center" vertical="center"/>
    </xf>
    <xf numFmtId="0" fontId="1" fillId="2" borderId="5" xfId="1" applyFont="1" applyBorder="1" applyAlignment="1">
      <alignment horizontal="center" vertical="center"/>
    </xf>
    <xf numFmtId="0" fontId="1" fillId="2" borderId="6" xfId="1" applyFont="1" applyBorder="1" applyAlignment="1">
      <alignment horizontal="center" vertical="center"/>
    </xf>
    <xf numFmtId="0" fontId="1" fillId="2" borderId="9" xfId="1" applyFont="1" applyBorder="1" applyAlignment="1">
      <alignment horizontal="center" vertical="center"/>
    </xf>
    <xf numFmtId="0" fontId="1" fillId="2" borderId="7" xfId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vertical="center"/>
    </xf>
  </cellXfs>
  <cellStyles count="6">
    <cellStyle name="40% - Accent1" xfId="5" builtinId="31"/>
    <cellStyle name="40% - Accent3" xfId="1" builtinId="39"/>
    <cellStyle name="40% - Accent6" xfId="4" builtinId="51"/>
    <cellStyle name="60% - Accent3" xfId="2" builtinId="40"/>
    <cellStyle name="60% - Accent5" xfId="3" builtinId="48"/>
    <cellStyle name="Normal" xfId="0" builtinId="0"/>
  </cellStyles>
  <dxfs count="56"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55" dataDxfId="53" headerRowBorderDxfId="54" tableBorderDxfId="52">
  <autoFilter ref="A1:I151" xr:uid="{E9A721D6-AA6C-4F44-9236-207EE5A5A8C6}"/>
  <tableColumns count="9">
    <tableColumn id="1" xr3:uid="{029C764B-37A6-46D6-97B0-D615DDC6B955}" name="Employee ID" dataDxfId="51"/>
    <tableColumn id="2" xr3:uid="{D5E8EB54-8C81-4443-B44D-475CEB9381C2}" name="Name" dataDxfId="50"/>
    <tableColumn id="3" xr3:uid="{DDCB7D6A-0DEE-4F8C-8776-9E3D0349618E}" name="Department" dataDxfId="49"/>
    <tableColumn id="4" xr3:uid="{9BC4C251-8160-41F5-8F7C-CF81F1651692}" name="Country" dataDxfId="48"/>
    <tableColumn id="5" xr3:uid="{1E961D46-29E6-4DC8-B3A6-E0F335B75AE5}" name="Salary" dataDxfId="47"/>
    <tableColumn id="6" xr3:uid="{BB993C3D-1A80-4F58-8E93-89B3312F4E0C}" name="Date of Joining" dataDxfId="46"/>
    <tableColumn id="7" xr3:uid="{C3A0EBFC-FE54-49B7-BC21-41D9C8A5984A}" name="Performance Rating" dataDxfId="45"/>
    <tableColumn id="8" xr3:uid="{0F1AA13D-E2DE-45A5-B16C-6B8824DF5F79}" name="Gender" dataDxfId="44"/>
    <tableColumn id="9" xr3:uid="{5D88DF47-0D36-4B3F-8846-960C9AA04BC2}" name="Email" dataDxfId="4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42" dataDxfId="41">
  <autoFilter ref="A1:I151" xr:uid="{CCF9ECFF-61EB-468F-BE0D-69A59E66AE9F}"/>
  <tableColumns count="9">
    <tableColumn id="1" xr3:uid="{380E61C5-ED4F-456E-A974-B522A3B528CD}" uniqueName="1" name="Employee ID" queryTableFieldId="1" dataDxfId="40"/>
    <tableColumn id="2" xr3:uid="{A0039623-9210-4CFC-95C8-DD6B21CDAFB1}" uniqueName="2" name="Name" queryTableFieldId="2" dataDxfId="39"/>
    <tableColumn id="3" xr3:uid="{3819AD74-6C94-434C-9268-7BF3DB56E383}" uniqueName="3" name="Department" queryTableFieldId="3" dataDxfId="38"/>
    <tableColumn id="4" xr3:uid="{ACA43FAD-164E-46A0-8E91-6AF5585C13C7}" uniqueName="4" name="Country" queryTableFieldId="4" dataDxfId="37"/>
    <tableColumn id="5" xr3:uid="{C8273371-5216-460E-AF71-804A8AEC5B74}" uniqueName="5" name="Salary" queryTableFieldId="5" dataDxfId="36"/>
    <tableColumn id="6" xr3:uid="{DB73D7A2-9357-48E9-9DC5-178740882A35}" uniqueName="6" name="Date of Joining" queryTableFieldId="6" dataDxfId="35"/>
    <tableColumn id="7" xr3:uid="{6D24D847-CF27-4EE8-B081-FFB1BAA729A4}" uniqueName="7" name="Performance Rating" queryTableFieldId="7" dataDxfId="34"/>
    <tableColumn id="8" xr3:uid="{21A70B1F-E195-4704-BCC8-156FBB4BF612}" uniqueName="8" name="Gender" queryTableFieldId="8" dataDxfId="33"/>
    <tableColumn id="9" xr3:uid="{FF761B5D-39E2-4ED6-8CF8-A6570C3B5F99}" uniqueName="9" name="Email" queryTableFieldId="9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F1" workbookViewId="0">
      <selection activeCell="O17" sqref="O17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E1F-17BF-409D-9BA3-59F75A22C992}">
  <sheetPr>
    <tabColor rgb="FFFFC000"/>
  </sheetPr>
  <dimension ref="A1:I151"/>
  <sheetViews>
    <sheetView workbookViewId="0">
      <selection activeCell="K6" sqref="K6"/>
    </sheetView>
  </sheetViews>
  <sheetFormatPr defaultRowHeight="14.4" x14ac:dyDescent="0.3"/>
  <cols>
    <col min="1" max="9" width="20.7773437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</row>
    <row r="5" spans="1:9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</row>
    <row r="9" spans="1:9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</row>
    <row r="11" spans="1:9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</row>
    <row r="12" spans="1:9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</row>
    <row r="16" spans="1:9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</row>
    <row r="21" spans="1:9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</row>
    <row r="37" spans="1:9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</row>
    <row r="44" spans="1:9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</row>
    <row r="47" spans="1:9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</row>
    <row r="62" spans="1:9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</row>
    <row r="77" spans="1:9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</row>
    <row r="91" spans="1:9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</row>
    <row r="107" spans="1:9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</row>
    <row r="111" spans="1:9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</row>
    <row r="122" spans="1:9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</row>
    <row r="128" spans="1:9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</row>
    <row r="131" spans="1:9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</row>
    <row r="146" spans="1:9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</row>
    <row r="150" spans="1:9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conditionalFormatting sqref="A1:A1048576">
    <cfRule type="duplicateValues" dxfId="31" priority="3" stopIfTrue="1"/>
  </conditionalFormatting>
  <conditionalFormatting sqref="A2:A151">
    <cfRule type="duplicateValues" dxfId="30" priority="4" stopIfTrue="1"/>
    <cfRule type="duplicateValues" dxfId="29" priority="5" stopIfTrue="1"/>
  </conditionalFormatting>
  <conditionalFormatting sqref="A1:I151">
    <cfRule type="containsText" dxfId="28" priority="6" operator="containsText" text="Unknown">
      <formula>NOT(ISERROR(SEARCH("Unknown",A1)))</formula>
    </cfRule>
    <cfRule type="containsText" dxfId="27" priority="7" operator="containsText" text="Unknown">
      <formula>NOT(ISERROR(SEARCH("Unknown",A1)))</formula>
    </cfRule>
  </conditionalFormatting>
  <conditionalFormatting sqref="E2:E151">
    <cfRule type="expression" dxfId="26" priority="1">
      <formula>AND(ISNUMBER(E2),E2&gt;90000)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D8D-5290-43E6-9FCD-445209B4990A}">
  <sheetPr>
    <tabColor theme="8"/>
  </sheetPr>
  <dimension ref="I3:J8"/>
  <sheetViews>
    <sheetView workbookViewId="0">
      <selection activeCell="P6" sqref="P6"/>
    </sheetView>
  </sheetViews>
  <sheetFormatPr defaultRowHeight="14.4" x14ac:dyDescent="0.3"/>
  <cols>
    <col min="10" max="10" width="67.33203125" customWidth="1"/>
  </cols>
  <sheetData>
    <row r="3" spans="9:10" ht="34.950000000000003" customHeight="1" x14ac:dyDescent="0.3">
      <c r="I3" s="4"/>
      <c r="J3" s="4" t="s">
        <v>364</v>
      </c>
    </row>
    <row r="4" spans="9:10" ht="34.950000000000003" customHeight="1" x14ac:dyDescent="0.3">
      <c r="I4" s="5" t="s">
        <v>282</v>
      </c>
      <c r="J4" s="5" t="s">
        <v>283</v>
      </c>
    </row>
    <row r="5" spans="9:10" ht="34.950000000000003" customHeight="1" x14ac:dyDescent="0.3">
      <c r="I5" s="6">
        <v>1</v>
      </c>
      <c r="J5" s="6" t="s">
        <v>368</v>
      </c>
    </row>
    <row r="6" spans="9:10" ht="34.950000000000003" customHeight="1" x14ac:dyDescent="0.3">
      <c r="I6" s="6">
        <v>2</v>
      </c>
      <c r="J6" s="6" t="s">
        <v>365</v>
      </c>
    </row>
    <row r="7" spans="9:10" ht="34.950000000000003" customHeight="1" x14ac:dyDescent="0.3">
      <c r="I7" s="6">
        <v>3</v>
      </c>
      <c r="J7" s="6" t="s">
        <v>366</v>
      </c>
    </row>
    <row r="8" spans="9:10" ht="34.950000000000003" customHeight="1" x14ac:dyDescent="0.3">
      <c r="I8" s="6">
        <v>4</v>
      </c>
      <c r="J8" s="6" t="s">
        <v>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B39-6707-4398-B936-971075547709}">
  <sheetPr>
    <tabColor rgb="FFFFC000"/>
  </sheetPr>
  <dimension ref="A1:L151"/>
  <sheetViews>
    <sheetView workbookViewId="0">
      <selection activeCell="J6" sqref="J6"/>
    </sheetView>
  </sheetViews>
  <sheetFormatPr defaultRowHeight="14.4" x14ac:dyDescent="0.3"/>
  <cols>
    <col min="1" max="9" width="20.77734375" customWidth="1"/>
    <col min="11" max="11" width="20.77734375" customWidth="1"/>
    <col min="12" max="12" width="27.4414062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9" t="s">
        <v>369</v>
      </c>
      <c r="L1" s="9" t="s">
        <v>382</v>
      </c>
    </row>
    <row r="2" spans="1:12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K2" s="7" cm="1">
        <f t="array" ref="K2:K143">_xlfn._xlws.FILTER(E2:E151,ISNUMBER(E2:E151))</f>
        <v>54255</v>
      </c>
      <c r="L2" s="7" cm="1">
        <f t="array" ref="L2:L126">_xlfn._xlws.FILTER(G2:G151,ISNUMBER(G2:G151))</f>
        <v>2</v>
      </c>
    </row>
    <row r="3" spans="1:12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K3" s="7">
        <v>63184</v>
      </c>
      <c r="L3" s="7">
        <v>1</v>
      </c>
    </row>
    <row r="4" spans="1:12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K4" s="7">
        <v>94406</v>
      </c>
      <c r="L4" s="7">
        <v>2</v>
      </c>
    </row>
    <row r="5" spans="1:12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K5" s="7">
        <v>64120</v>
      </c>
      <c r="L5" s="7">
        <v>1</v>
      </c>
    </row>
    <row r="6" spans="1:12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K6" s="7">
        <v>78421</v>
      </c>
      <c r="L6" s="7">
        <v>1</v>
      </c>
    </row>
    <row r="7" spans="1:12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K7" s="7">
        <v>67721</v>
      </c>
      <c r="L7" s="7">
        <v>2</v>
      </c>
    </row>
    <row r="8" spans="1:12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K8" s="7">
        <v>35364</v>
      </c>
      <c r="L8" s="7">
        <v>2</v>
      </c>
    </row>
    <row r="9" spans="1:12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K9" s="7">
        <v>97881</v>
      </c>
      <c r="L9" s="7">
        <v>1</v>
      </c>
    </row>
    <row r="10" spans="1:12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K10" s="7">
        <v>91846</v>
      </c>
      <c r="L10" s="7">
        <v>5</v>
      </c>
    </row>
    <row r="11" spans="1:12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K11" s="7">
        <v>64247</v>
      </c>
      <c r="L11" s="7">
        <v>5</v>
      </c>
    </row>
    <row r="12" spans="1:12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K12" s="7">
        <v>91180</v>
      </c>
      <c r="L12" s="7">
        <v>4</v>
      </c>
    </row>
    <row r="13" spans="1:12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K13" s="7">
        <v>96418</v>
      </c>
      <c r="L13" s="7">
        <v>2</v>
      </c>
    </row>
    <row r="14" spans="1:12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K14" s="7">
        <v>62158</v>
      </c>
      <c r="L14" s="7">
        <v>3</v>
      </c>
    </row>
    <row r="15" spans="1:12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K15" s="7">
        <v>59894</v>
      </c>
      <c r="L15" s="7">
        <v>1</v>
      </c>
    </row>
    <row r="16" spans="1:12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K16" s="7">
        <v>92443</v>
      </c>
      <c r="L16" s="7">
        <v>5</v>
      </c>
    </row>
    <row r="17" spans="1:12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K17" s="7">
        <v>90271</v>
      </c>
      <c r="L17" s="7">
        <v>2</v>
      </c>
    </row>
    <row r="18" spans="1:12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K18" s="7">
        <v>41341</v>
      </c>
      <c r="L18" s="7">
        <v>4</v>
      </c>
    </row>
    <row r="19" spans="1:12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K19" s="7">
        <v>73602</v>
      </c>
      <c r="L19" s="7">
        <v>5</v>
      </c>
    </row>
    <row r="20" spans="1:12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K20" s="7">
        <v>67531</v>
      </c>
      <c r="L20" s="7">
        <v>3</v>
      </c>
    </row>
    <row r="21" spans="1:12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K21" s="7">
        <v>98922</v>
      </c>
      <c r="L21" s="7">
        <v>1</v>
      </c>
    </row>
    <row r="22" spans="1:12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K22" s="7">
        <v>38333</v>
      </c>
      <c r="L22" s="7">
        <v>3</v>
      </c>
    </row>
    <row r="23" spans="1:12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K23" s="7">
        <v>36515</v>
      </c>
      <c r="L23" s="7">
        <v>2</v>
      </c>
    </row>
    <row r="24" spans="1:12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K24" s="7">
        <v>91005</v>
      </c>
      <c r="L24" s="7">
        <v>3</v>
      </c>
    </row>
    <row r="25" spans="1:12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K25" s="7">
        <v>52272</v>
      </c>
      <c r="L25" s="7">
        <v>2</v>
      </c>
    </row>
    <row r="26" spans="1:12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K26" s="7">
        <v>76518</v>
      </c>
      <c r="L26" s="7">
        <v>5</v>
      </c>
    </row>
    <row r="27" spans="1:12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K27" s="7">
        <v>41448</v>
      </c>
      <c r="L27" s="7">
        <v>1</v>
      </c>
    </row>
    <row r="28" spans="1:12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K28" s="7">
        <v>49282</v>
      </c>
      <c r="L28" s="7">
        <v>3</v>
      </c>
    </row>
    <row r="29" spans="1:12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K29" s="7">
        <v>92959</v>
      </c>
      <c r="L29" s="7">
        <v>3</v>
      </c>
    </row>
    <row r="30" spans="1:12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K30" s="7">
        <v>92259</v>
      </c>
      <c r="L30" s="7">
        <v>3</v>
      </c>
    </row>
    <row r="31" spans="1:12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K31" s="7">
        <v>92299</v>
      </c>
      <c r="L31" s="7">
        <v>4</v>
      </c>
    </row>
    <row r="32" spans="1:12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K32" s="7">
        <v>95586</v>
      </c>
      <c r="L32" s="7">
        <v>5</v>
      </c>
    </row>
    <row r="33" spans="1:12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K33" s="7">
        <v>95367</v>
      </c>
      <c r="L33" s="7">
        <v>3</v>
      </c>
    </row>
    <row r="34" spans="1:12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K34" s="7">
        <v>79549</v>
      </c>
      <c r="L34" s="7">
        <v>4</v>
      </c>
    </row>
    <row r="35" spans="1:12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K35" s="7">
        <v>54463</v>
      </c>
      <c r="L35" s="7">
        <v>1</v>
      </c>
    </row>
    <row r="36" spans="1:12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K36" s="7">
        <v>89781</v>
      </c>
      <c r="L36" s="7">
        <v>1</v>
      </c>
    </row>
    <row r="37" spans="1:12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K37" s="7">
        <v>64796</v>
      </c>
      <c r="L37" s="7">
        <v>3</v>
      </c>
    </row>
    <row r="38" spans="1:12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K38" s="7">
        <v>52093</v>
      </c>
      <c r="L38" s="7">
        <v>3</v>
      </c>
    </row>
    <row r="39" spans="1:12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K39" s="7">
        <v>48224</v>
      </c>
      <c r="L39" s="7">
        <v>4</v>
      </c>
    </row>
    <row r="40" spans="1:12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K40" s="7">
        <v>33956</v>
      </c>
      <c r="L40" s="7">
        <v>2</v>
      </c>
    </row>
    <row r="41" spans="1:12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K41" s="7">
        <v>64913</v>
      </c>
      <c r="L41" s="7">
        <v>5</v>
      </c>
    </row>
    <row r="42" spans="1:12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K42" s="7">
        <v>35326</v>
      </c>
      <c r="L42" s="7">
        <v>2</v>
      </c>
    </row>
    <row r="43" spans="1:12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K43" s="7">
        <v>81610</v>
      </c>
      <c r="L43" s="7">
        <v>5</v>
      </c>
    </row>
    <row r="44" spans="1:12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K44" s="7">
        <v>58962</v>
      </c>
      <c r="L44" s="7">
        <v>1</v>
      </c>
    </row>
    <row r="45" spans="1:12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K45" s="7">
        <v>92701</v>
      </c>
      <c r="L45" s="7">
        <v>3</v>
      </c>
    </row>
    <row r="46" spans="1:12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K46" s="7">
        <v>58245</v>
      </c>
      <c r="L46" s="7">
        <v>5</v>
      </c>
    </row>
    <row r="47" spans="1:12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K47" s="7">
        <v>66513</v>
      </c>
      <c r="L47" s="7">
        <v>5</v>
      </c>
    </row>
    <row r="48" spans="1:12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K48" s="7">
        <v>78720</v>
      </c>
      <c r="L48" s="7">
        <v>1</v>
      </c>
    </row>
    <row r="49" spans="1:12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K49" s="7">
        <v>30686</v>
      </c>
      <c r="L49" s="7">
        <v>3</v>
      </c>
    </row>
    <row r="50" spans="1:12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K50" s="7">
        <v>39423</v>
      </c>
      <c r="L50" s="7">
        <v>5</v>
      </c>
    </row>
    <row r="51" spans="1:12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K51" s="7">
        <v>30280</v>
      </c>
      <c r="L51" s="7">
        <v>1</v>
      </c>
    </row>
    <row r="52" spans="1:12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K52" s="7">
        <v>33352</v>
      </c>
      <c r="L52" s="7">
        <v>5</v>
      </c>
    </row>
    <row r="53" spans="1:12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K53" s="7">
        <v>75633</v>
      </c>
      <c r="L53" s="7">
        <v>2</v>
      </c>
    </row>
    <row r="54" spans="1:12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K54" s="7">
        <v>74815</v>
      </c>
      <c r="L54" s="7">
        <v>5</v>
      </c>
    </row>
    <row r="55" spans="1:12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K55" s="7">
        <v>60011</v>
      </c>
      <c r="L55" s="7">
        <v>2</v>
      </c>
    </row>
    <row r="56" spans="1:12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K56" s="7">
        <v>96949</v>
      </c>
      <c r="L56" s="7">
        <v>1</v>
      </c>
    </row>
    <row r="57" spans="1:12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K57" s="7">
        <v>84924</v>
      </c>
      <c r="L57" s="7">
        <v>4</v>
      </c>
    </row>
    <row r="58" spans="1:12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K58" s="7">
        <v>82033</v>
      </c>
      <c r="L58" s="7">
        <v>3</v>
      </c>
    </row>
    <row r="59" spans="1:12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K59" s="7">
        <v>31499</v>
      </c>
      <c r="L59" s="7">
        <v>3</v>
      </c>
    </row>
    <row r="60" spans="1:12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K60" s="7">
        <v>97981</v>
      </c>
      <c r="L60" s="7">
        <v>2</v>
      </c>
    </row>
    <row r="61" spans="1:12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K61" s="7">
        <v>36541</v>
      </c>
      <c r="L61" s="7">
        <v>1</v>
      </c>
    </row>
    <row r="62" spans="1:12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K62" s="7">
        <v>84737</v>
      </c>
      <c r="L62" s="7">
        <v>5</v>
      </c>
    </row>
    <row r="63" spans="1:12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K63" s="7">
        <v>33468</v>
      </c>
      <c r="L63" s="7">
        <v>3</v>
      </c>
    </row>
    <row r="64" spans="1:12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K64" s="7">
        <v>96365</v>
      </c>
      <c r="L64" s="7">
        <v>4</v>
      </c>
    </row>
    <row r="65" spans="1:12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K65" s="7">
        <v>61942</v>
      </c>
      <c r="L65" s="7">
        <v>1</v>
      </c>
    </row>
    <row r="66" spans="1:12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K66" s="7">
        <v>41467</v>
      </c>
      <c r="L66" s="7">
        <v>1</v>
      </c>
    </row>
    <row r="67" spans="1:12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K67" s="7">
        <v>77096</v>
      </c>
      <c r="L67" s="7">
        <v>1</v>
      </c>
    </row>
    <row r="68" spans="1:12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K68" s="7">
        <v>69952</v>
      </c>
      <c r="L68" s="7">
        <v>2</v>
      </c>
    </row>
    <row r="69" spans="1:12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K69" s="7">
        <v>85065</v>
      </c>
      <c r="L69" s="7">
        <v>2</v>
      </c>
    </row>
    <row r="70" spans="1:12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K70" s="7">
        <v>56512</v>
      </c>
      <c r="L70" s="7">
        <v>3</v>
      </c>
    </row>
    <row r="71" spans="1:12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K71" s="7">
        <v>91101</v>
      </c>
      <c r="L71" s="7">
        <v>1</v>
      </c>
    </row>
    <row r="72" spans="1:12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K72" s="7">
        <v>41243</v>
      </c>
      <c r="L72" s="7">
        <v>4</v>
      </c>
    </row>
    <row r="73" spans="1:12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K73" s="7">
        <v>96142</v>
      </c>
      <c r="L73" s="7">
        <v>5</v>
      </c>
    </row>
    <row r="74" spans="1:12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K74" s="7">
        <v>94301</v>
      </c>
      <c r="L74" s="7">
        <v>4</v>
      </c>
    </row>
    <row r="75" spans="1:12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K75" s="7">
        <v>69166</v>
      </c>
      <c r="L75" s="7">
        <v>4</v>
      </c>
    </row>
    <row r="76" spans="1:12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K76" s="7">
        <v>78245</v>
      </c>
      <c r="L76" s="7">
        <v>3</v>
      </c>
    </row>
    <row r="77" spans="1:12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K77" s="7">
        <v>66079</v>
      </c>
      <c r="L77" s="7">
        <v>3</v>
      </c>
    </row>
    <row r="78" spans="1:12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K78" s="7">
        <v>95621</v>
      </c>
      <c r="L78" s="7">
        <v>3</v>
      </c>
    </row>
    <row r="79" spans="1:12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K79" s="7">
        <v>42262</v>
      </c>
      <c r="L79" s="7">
        <v>1</v>
      </c>
    </row>
    <row r="80" spans="1:12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K80" s="7">
        <v>99621</v>
      </c>
      <c r="L80" s="7">
        <v>5</v>
      </c>
    </row>
    <row r="81" spans="1:12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K81" s="7">
        <v>44682</v>
      </c>
      <c r="L81" s="7">
        <v>4</v>
      </c>
    </row>
    <row r="82" spans="1:12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K82" s="7">
        <v>35163</v>
      </c>
      <c r="L82" s="7">
        <v>3</v>
      </c>
    </row>
    <row r="83" spans="1:12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K83" s="7">
        <v>33483</v>
      </c>
      <c r="L83" s="7">
        <v>1</v>
      </c>
    </row>
    <row r="84" spans="1:12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K84" s="7">
        <v>55303</v>
      </c>
      <c r="L84" s="7">
        <v>4</v>
      </c>
    </row>
    <row r="85" spans="1:12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K85" s="7">
        <v>63434</v>
      </c>
      <c r="L85" s="7">
        <v>2</v>
      </c>
    </row>
    <row r="86" spans="1:12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K86" s="7">
        <v>38830</v>
      </c>
      <c r="L86" s="7">
        <v>5</v>
      </c>
    </row>
    <row r="87" spans="1:12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K87" s="7">
        <v>50741</v>
      </c>
      <c r="L87" s="7">
        <v>1</v>
      </c>
    </row>
    <row r="88" spans="1:12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K88" s="7">
        <v>69420</v>
      </c>
      <c r="L88" s="7">
        <v>3</v>
      </c>
    </row>
    <row r="89" spans="1:12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K89" s="7">
        <v>80588</v>
      </c>
      <c r="L89" s="7">
        <v>2</v>
      </c>
    </row>
    <row r="90" spans="1:12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K90" s="7">
        <v>76238</v>
      </c>
      <c r="L90" s="7">
        <v>1</v>
      </c>
    </row>
    <row r="91" spans="1:12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K91" s="7">
        <v>33264</v>
      </c>
      <c r="L91" s="7">
        <v>1</v>
      </c>
    </row>
    <row r="92" spans="1:12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K92" s="7">
        <v>96101</v>
      </c>
      <c r="L92" s="7">
        <v>2</v>
      </c>
    </row>
    <row r="93" spans="1:12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K93" s="7">
        <v>72939</v>
      </c>
      <c r="L93" s="7">
        <v>5</v>
      </c>
    </row>
    <row r="94" spans="1:12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K94" s="7">
        <v>89333</v>
      </c>
      <c r="L94" s="7">
        <v>1</v>
      </c>
    </row>
    <row r="95" spans="1:12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K95" s="7">
        <v>70470</v>
      </c>
      <c r="L95" s="7">
        <v>4</v>
      </c>
    </row>
    <row r="96" spans="1:12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K96" s="7">
        <v>70096</v>
      </c>
      <c r="L96" s="7">
        <v>4</v>
      </c>
    </row>
    <row r="97" spans="1:12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K97" s="7">
        <v>66503</v>
      </c>
      <c r="L97" s="7">
        <v>5</v>
      </c>
    </row>
    <row r="98" spans="1:12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K98" s="7">
        <v>42096</v>
      </c>
      <c r="L98" s="7">
        <v>1</v>
      </c>
    </row>
    <row r="99" spans="1:12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K99" s="7">
        <v>79145</v>
      </c>
      <c r="L99" s="7">
        <v>3</v>
      </c>
    </row>
    <row r="100" spans="1:12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K100" s="7">
        <v>61556</v>
      </c>
      <c r="L100" s="7">
        <v>5</v>
      </c>
    </row>
    <row r="101" spans="1:12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K101" s="7">
        <v>87963</v>
      </c>
      <c r="L101" s="7">
        <v>2</v>
      </c>
    </row>
    <row r="102" spans="1:12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K102" s="7">
        <v>48325</v>
      </c>
      <c r="L102" s="7">
        <v>3</v>
      </c>
    </row>
    <row r="103" spans="1:12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K103" s="7">
        <v>86412</v>
      </c>
      <c r="L103" s="7">
        <v>5</v>
      </c>
    </row>
    <row r="104" spans="1:12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K104" s="7">
        <v>66761</v>
      </c>
      <c r="L104" s="7">
        <v>1</v>
      </c>
    </row>
    <row r="105" spans="1:12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K105" s="7">
        <v>88850</v>
      </c>
      <c r="L105" s="7">
        <v>5</v>
      </c>
    </row>
    <row r="106" spans="1:12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K106" s="7">
        <v>31293</v>
      </c>
      <c r="L106" s="7">
        <v>3</v>
      </c>
    </row>
    <row r="107" spans="1:12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K107" s="7">
        <v>34306</v>
      </c>
      <c r="L107" s="7">
        <v>2</v>
      </c>
    </row>
    <row r="108" spans="1:12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K108" s="7">
        <v>78330</v>
      </c>
      <c r="L108" s="7">
        <v>1</v>
      </c>
    </row>
    <row r="109" spans="1:12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K109" s="7">
        <v>47653</v>
      </c>
      <c r="L109" s="7">
        <v>3</v>
      </c>
    </row>
    <row r="110" spans="1:12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K110" s="7">
        <v>44627</v>
      </c>
      <c r="L110" s="7">
        <v>3</v>
      </c>
    </row>
    <row r="111" spans="1:12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K111" s="7">
        <v>92343</v>
      </c>
      <c r="L111" s="7">
        <v>3</v>
      </c>
    </row>
    <row r="112" spans="1:12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K112" s="7">
        <v>38837</v>
      </c>
      <c r="L112" s="7">
        <v>3</v>
      </c>
    </row>
    <row r="113" spans="1:12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K113" s="7">
        <v>73483</v>
      </c>
      <c r="L113" s="7">
        <v>1</v>
      </c>
    </row>
    <row r="114" spans="1:12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K114" s="7">
        <v>95032</v>
      </c>
      <c r="L114" s="7">
        <v>3</v>
      </c>
    </row>
    <row r="115" spans="1:12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K115" s="7">
        <v>44358</v>
      </c>
      <c r="L115" s="7">
        <v>4</v>
      </c>
    </row>
    <row r="116" spans="1:12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K116" s="7">
        <v>45676</v>
      </c>
      <c r="L116" s="7">
        <v>4</v>
      </c>
    </row>
    <row r="117" spans="1:12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K117" s="7">
        <v>52036</v>
      </c>
      <c r="L117" s="7">
        <v>2</v>
      </c>
    </row>
    <row r="118" spans="1:12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K118" s="7">
        <v>30357</v>
      </c>
      <c r="L118" s="7">
        <v>4</v>
      </c>
    </row>
    <row r="119" spans="1:12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K119" s="7">
        <v>60034</v>
      </c>
      <c r="L119" s="7">
        <v>5</v>
      </c>
    </row>
    <row r="120" spans="1:12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K120" s="7">
        <v>90019</v>
      </c>
      <c r="L120" s="7">
        <v>3</v>
      </c>
    </row>
    <row r="121" spans="1:12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K121" s="7">
        <v>71494</v>
      </c>
      <c r="L121" s="7">
        <v>2</v>
      </c>
    </row>
    <row r="122" spans="1:12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K122" s="7">
        <v>91953</v>
      </c>
      <c r="L122" s="7">
        <v>5</v>
      </c>
    </row>
    <row r="123" spans="1:12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K123" s="7">
        <v>30402</v>
      </c>
      <c r="L123" s="7">
        <v>2</v>
      </c>
    </row>
    <row r="124" spans="1:12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K124" s="7">
        <v>62994</v>
      </c>
      <c r="L124" s="7">
        <v>1</v>
      </c>
    </row>
    <row r="125" spans="1:12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K125" s="7">
        <v>48289</v>
      </c>
      <c r="L125" s="7">
        <v>1</v>
      </c>
    </row>
    <row r="126" spans="1:12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K126" s="7">
        <v>34402</v>
      </c>
      <c r="L126" s="7">
        <v>5</v>
      </c>
    </row>
    <row r="127" spans="1:12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K127" s="7">
        <v>38678</v>
      </c>
      <c r="L127" s="7"/>
    </row>
    <row r="128" spans="1:12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K128" s="7">
        <v>45758</v>
      </c>
      <c r="L128" s="7"/>
    </row>
    <row r="129" spans="1:12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K129" s="7">
        <v>62476</v>
      </c>
      <c r="L129" s="7"/>
    </row>
    <row r="130" spans="1:12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K130" s="7">
        <v>39280</v>
      </c>
      <c r="L130" s="7"/>
    </row>
    <row r="131" spans="1:12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K131" s="7">
        <v>60335</v>
      </c>
      <c r="L131" s="7"/>
    </row>
    <row r="132" spans="1:12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K132" s="7">
        <v>84968</v>
      </c>
      <c r="L132" s="7"/>
    </row>
    <row r="133" spans="1:12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K133" s="7">
        <v>84750</v>
      </c>
      <c r="L133" s="7"/>
    </row>
    <row r="134" spans="1:12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K134" s="7">
        <v>73348</v>
      </c>
      <c r="L134" s="7"/>
    </row>
    <row r="135" spans="1:12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K135" s="7">
        <v>66882</v>
      </c>
      <c r="L135" s="7"/>
    </row>
    <row r="136" spans="1:12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K136" s="7">
        <v>86775</v>
      </c>
      <c r="L136" s="7"/>
    </row>
    <row r="137" spans="1:12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K137" s="7">
        <v>91620</v>
      </c>
      <c r="L137" s="7"/>
    </row>
    <row r="138" spans="1:12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K138" s="7">
        <v>94148</v>
      </c>
      <c r="L138" s="7"/>
    </row>
    <row r="139" spans="1:12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K139" s="7">
        <v>35627</v>
      </c>
      <c r="L139" s="7"/>
    </row>
    <row r="140" spans="1:12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K140" s="7">
        <v>57141</v>
      </c>
      <c r="L140" s="7"/>
    </row>
    <row r="141" spans="1:12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K141" s="7">
        <v>65270</v>
      </c>
      <c r="L141" s="7"/>
    </row>
    <row r="142" spans="1:12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K142" s="7">
        <v>67335</v>
      </c>
      <c r="L142" s="7"/>
    </row>
    <row r="143" spans="1:12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K143" s="7">
        <v>98475</v>
      </c>
      <c r="L143" s="7"/>
    </row>
    <row r="144" spans="1:12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K144" s="7"/>
      <c r="L144" s="7"/>
    </row>
    <row r="145" spans="1:12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K145" s="7"/>
      <c r="L145" s="7"/>
    </row>
    <row r="146" spans="1:12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K146" s="7"/>
      <c r="L146" s="7"/>
    </row>
    <row r="147" spans="1:12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K147" s="7"/>
      <c r="L147" s="7"/>
    </row>
    <row r="148" spans="1:12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K148" s="7"/>
      <c r="L148" s="7"/>
    </row>
    <row r="149" spans="1:12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K149" s="7"/>
      <c r="L149" s="7"/>
    </row>
    <row r="150" spans="1:12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K150" s="7"/>
      <c r="L150" s="7"/>
    </row>
    <row r="151" spans="1:12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K151" s="7"/>
      <c r="L151" s="7"/>
    </row>
  </sheetData>
  <conditionalFormatting sqref="A1 A152:A1048576">
    <cfRule type="duplicateValues" dxfId="25" priority="4" stopIfTrue="1"/>
  </conditionalFormatting>
  <conditionalFormatting sqref="A1:I1">
    <cfRule type="containsText" dxfId="24" priority="7" operator="containsText" text="Unknown">
      <formula>NOT(ISERROR(SEARCH("Unknown",A1)))</formula>
    </cfRule>
    <cfRule type="containsText" dxfId="23" priority="8" operator="containsText" text="Unknown">
      <formula>NOT(ISERROR(SEARCH("Unknown",A1)))</formula>
    </cfRule>
  </conditionalFormatting>
  <conditionalFormatting sqref="K1:L1">
    <cfRule type="containsText" dxfId="22" priority="1" operator="containsText" text="Unknown">
      <formula>NOT(ISERROR(SEARCH("Unknown",K1)))</formula>
    </cfRule>
    <cfRule type="containsText" dxfId="21" priority="2" operator="containsText" text="Unknown">
      <formula>NOT(ISERROR(SEARCH("Unknown",K1)))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C7C1-5A57-4450-8B3C-C97D76EE7FA2}">
  <sheetPr>
    <tabColor theme="3" tint="0.39997558519241921"/>
  </sheetPr>
  <dimension ref="A1:H15"/>
  <sheetViews>
    <sheetView workbookViewId="0">
      <selection activeCell="F10" sqref="F10"/>
    </sheetView>
  </sheetViews>
  <sheetFormatPr defaultRowHeight="14.4" x14ac:dyDescent="0.3"/>
  <cols>
    <col min="1" max="1" width="24.6640625" customWidth="1"/>
    <col min="2" max="2" width="25.6640625" customWidth="1"/>
    <col min="4" max="4" width="35.33203125" customWidth="1"/>
    <col min="5" max="5" width="27" customWidth="1"/>
    <col min="7" max="7" width="36.44140625" customWidth="1"/>
  </cols>
  <sheetData>
    <row r="1" spans="1:8" ht="25.05" customHeight="1" x14ac:dyDescent="0.3">
      <c r="A1" s="34" t="s">
        <v>369</v>
      </c>
      <c r="B1" s="34"/>
      <c r="C1" s="17"/>
      <c r="D1" s="30" t="s">
        <v>382</v>
      </c>
      <c r="E1" s="31"/>
      <c r="G1" s="35"/>
      <c r="H1" s="35"/>
    </row>
    <row r="2" spans="1:8" ht="19.95" customHeight="1" x14ac:dyDescent="0.3">
      <c r="A2" s="18" t="s">
        <v>370</v>
      </c>
      <c r="B2" s="18">
        <v>66280.929577464791</v>
      </c>
      <c r="C2" s="17"/>
      <c r="D2" s="32"/>
      <c r="E2" s="33"/>
      <c r="F2" s="7"/>
    </row>
    <row r="3" spans="1:8" ht="19.95" customHeight="1" x14ac:dyDescent="0.3">
      <c r="A3" s="18" t="s">
        <v>371</v>
      </c>
      <c r="B3" s="18">
        <v>1815.3718349901726</v>
      </c>
      <c r="C3" s="17"/>
      <c r="D3" s="19" t="s">
        <v>370</v>
      </c>
      <c r="E3" s="19">
        <v>2.8719999999999999</v>
      </c>
      <c r="G3" s="7"/>
      <c r="H3" s="7"/>
    </row>
    <row r="4" spans="1:8" ht="19.95" customHeight="1" x14ac:dyDescent="0.3">
      <c r="A4" s="18" t="s">
        <v>372</v>
      </c>
      <c r="B4" s="18">
        <v>66637</v>
      </c>
      <c r="C4" s="17"/>
      <c r="D4" s="19" t="s">
        <v>371</v>
      </c>
      <c r="E4" s="19">
        <v>0.12900412596552496</v>
      </c>
      <c r="G4" s="7"/>
      <c r="H4" s="7"/>
    </row>
    <row r="5" spans="1:8" ht="19.95" customHeight="1" x14ac:dyDescent="0.3">
      <c r="A5" s="18" t="s">
        <v>373</v>
      </c>
      <c r="B5" s="18" t="e">
        <v>#N/A</v>
      </c>
      <c r="C5" s="17"/>
      <c r="D5" s="19" t="s">
        <v>372</v>
      </c>
      <c r="E5" s="19">
        <v>3</v>
      </c>
      <c r="G5" s="7"/>
      <c r="H5" s="7"/>
    </row>
    <row r="6" spans="1:8" ht="19.95" customHeight="1" x14ac:dyDescent="0.3">
      <c r="A6" s="18" t="s">
        <v>374</v>
      </c>
      <c r="B6" s="18">
        <v>21632.652072668603</v>
      </c>
      <c r="C6" s="17"/>
      <c r="D6" s="19" t="s">
        <v>373</v>
      </c>
      <c r="E6" s="19">
        <v>1</v>
      </c>
      <c r="G6" s="7"/>
      <c r="H6" s="7"/>
    </row>
    <row r="7" spans="1:8" ht="19.95" customHeight="1" x14ac:dyDescent="0.3">
      <c r="A7" s="18" t="s">
        <v>375</v>
      </c>
      <c r="B7" s="18">
        <v>467971635.69713318</v>
      </c>
      <c r="C7" s="17"/>
      <c r="D7" s="19" t="s">
        <v>374</v>
      </c>
      <c r="E7" s="19">
        <v>1.4423099751842976</v>
      </c>
      <c r="G7" s="7"/>
      <c r="H7" s="7"/>
    </row>
    <row r="8" spans="1:8" ht="19.95" customHeight="1" x14ac:dyDescent="0.3">
      <c r="A8" s="18" t="s">
        <v>376</v>
      </c>
      <c r="B8" s="18">
        <v>-1.2874357087996995</v>
      </c>
      <c r="C8" s="17"/>
      <c r="D8" s="19" t="s">
        <v>375</v>
      </c>
      <c r="E8" s="19">
        <v>2.080258064516129</v>
      </c>
      <c r="G8" s="7"/>
      <c r="H8" s="7"/>
    </row>
    <row r="9" spans="1:8" ht="19.95" customHeight="1" x14ac:dyDescent="0.3">
      <c r="A9" s="18" t="s">
        <v>377</v>
      </c>
      <c r="B9" s="18">
        <v>-0.11849189667995685</v>
      </c>
      <c r="C9" s="17"/>
      <c r="D9" s="19" t="s">
        <v>376</v>
      </c>
      <c r="E9" s="19">
        <v>-1.2707603536602425</v>
      </c>
      <c r="G9" s="7"/>
      <c r="H9" s="7"/>
    </row>
    <row r="10" spans="1:8" ht="19.95" customHeight="1" x14ac:dyDescent="0.3">
      <c r="A10" s="18" t="s">
        <v>378</v>
      </c>
      <c r="B10" s="18">
        <v>69341</v>
      </c>
      <c r="C10" s="17"/>
      <c r="D10" s="19" t="s">
        <v>377</v>
      </c>
      <c r="E10" s="19">
        <v>0.14563394306425323</v>
      </c>
      <c r="G10" s="7"/>
      <c r="H10" s="7"/>
    </row>
    <row r="11" spans="1:8" ht="19.95" customHeight="1" x14ac:dyDescent="0.3">
      <c r="A11" s="18" t="s">
        <v>379</v>
      </c>
      <c r="B11" s="18">
        <v>30280</v>
      </c>
      <c r="C11" s="17"/>
      <c r="D11" s="19" t="s">
        <v>378</v>
      </c>
      <c r="E11" s="19">
        <v>4</v>
      </c>
      <c r="G11" s="7"/>
      <c r="H11" s="7"/>
    </row>
    <row r="12" spans="1:8" ht="19.95" customHeight="1" x14ac:dyDescent="0.3">
      <c r="A12" s="18" t="s">
        <v>380</v>
      </c>
      <c r="B12" s="18">
        <v>99621</v>
      </c>
      <c r="C12" s="17"/>
      <c r="D12" s="19" t="s">
        <v>379</v>
      </c>
      <c r="E12" s="19">
        <v>1</v>
      </c>
      <c r="G12" s="7"/>
      <c r="H12" s="7"/>
    </row>
    <row r="13" spans="1:8" ht="19.95" customHeight="1" x14ac:dyDescent="0.3">
      <c r="A13" s="18" t="s">
        <v>381</v>
      </c>
      <c r="B13" s="18">
        <v>9411892</v>
      </c>
      <c r="C13" s="17"/>
      <c r="D13" s="19" t="s">
        <v>380</v>
      </c>
      <c r="E13" s="19">
        <v>5</v>
      </c>
      <c r="G13" s="7"/>
      <c r="H13" s="7"/>
    </row>
    <row r="14" spans="1:8" ht="19.95" customHeight="1" x14ac:dyDescent="0.3">
      <c r="A14" s="18" t="s">
        <v>307</v>
      </c>
      <c r="B14" s="18">
        <v>142</v>
      </c>
      <c r="C14" s="17"/>
      <c r="D14" s="19" t="s">
        <v>381</v>
      </c>
      <c r="E14" s="19">
        <v>359</v>
      </c>
      <c r="G14" s="7"/>
      <c r="H14" s="7"/>
    </row>
    <row r="15" spans="1:8" ht="15.6" x14ac:dyDescent="0.3">
      <c r="A15" s="17"/>
      <c r="B15" s="17"/>
      <c r="C15" s="17"/>
      <c r="D15" s="19" t="s">
        <v>307</v>
      </c>
      <c r="E15" s="19">
        <v>125</v>
      </c>
    </row>
  </sheetData>
  <mergeCells count="3">
    <mergeCell ref="D1:E2"/>
    <mergeCell ref="A1:B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498-ACD0-4B12-9CC7-312855D5A852}">
  <sheetPr>
    <tabColor theme="8"/>
  </sheetPr>
  <dimension ref="I3:J8"/>
  <sheetViews>
    <sheetView workbookViewId="0">
      <selection activeCell="L5" sqref="L5"/>
    </sheetView>
  </sheetViews>
  <sheetFormatPr defaultRowHeight="14.4" x14ac:dyDescent="0.3"/>
  <cols>
    <col min="10" max="10" width="77.6640625" customWidth="1"/>
  </cols>
  <sheetData>
    <row r="3" spans="9:10" ht="34.950000000000003" customHeight="1" x14ac:dyDescent="0.3">
      <c r="I3" s="20"/>
      <c r="J3" s="20" t="s">
        <v>383</v>
      </c>
    </row>
    <row r="4" spans="9:10" ht="34.950000000000003" customHeight="1" x14ac:dyDescent="0.3">
      <c r="I4" s="21" t="s">
        <v>282</v>
      </c>
      <c r="J4" s="21" t="s">
        <v>283</v>
      </c>
    </row>
    <row r="5" spans="9:10" ht="34.950000000000003" customHeight="1" x14ac:dyDescent="0.3">
      <c r="I5" s="22">
        <v>1</v>
      </c>
      <c r="J5" s="22" t="s">
        <v>384</v>
      </c>
    </row>
    <row r="6" spans="9:10" ht="34.950000000000003" customHeight="1" x14ac:dyDescent="0.3">
      <c r="I6" s="22">
        <v>2</v>
      </c>
      <c r="J6" s="22" t="s">
        <v>385</v>
      </c>
    </row>
    <row r="7" spans="9:10" ht="34.950000000000003" customHeight="1" x14ac:dyDescent="0.3">
      <c r="I7" s="22">
        <v>3</v>
      </c>
      <c r="J7" s="22" t="s">
        <v>386</v>
      </c>
    </row>
    <row r="8" spans="9:10" ht="34.950000000000003" customHeight="1" x14ac:dyDescent="0.3">
      <c r="I8" s="22">
        <v>4</v>
      </c>
      <c r="J8" s="22" t="s">
        <v>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F6BC-8EDD-4A45-92F2-C6F07EB0622A}">
  <sheetPr filterMode="1">
    <tabColor rgb="FFFFC000"/>
  </sheetPr>
  <dimension ref="A1:I151"/>
  <sheetViews>
    <sheetView workbookViewId="0">
      <selection activeCell="J3" sqref="J3"/>
    </sheetView>
  </sheetViews>
  <sheetFormatPr defaultRowHeight="19.95" customHeight="1" x14ac:dyDescent="0.3"/>
  <cols>
    <col min="1" max="10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10</v>
      </c>
      <c r="B2" s="7" t="s">
        <v>159</v>
      </c>
      <c r="C2" s="7" t="s">
        <v>167</v>
      </c>
      <c r="D2" s="7" t="s">
        <v>172</v>
      </c>
      <c r="E2" s="7">
        <v>54255</v>
      </c>
      <c r="F2" s="8">
        <v>42015</v>
      </c>
      <c r="G2" s="7">
        <v>1</v>
      </c>
      <c r="H2" s="7" t="s">
        <v>179</v>
      </c>
      <c r="I2" s="7" t="s">
        <v>183</v>
      </c>
    </row>
    <row r="3" spans="1:9" ht="19.95" customHeight="1" x14ac:dyDescent="0.3">
      <c r="A3" s="7" t="s">
        <v>12</v>
      </c>
      <c r="B3" s="7" t="s">
        <v>161</v>
      </c>
      <c r="C3" s="7" t="s">
        <v>168</v>
      </c>
      <c r="D3" s="7" t="s">
        <v>173</v>
      </c>
      <c r="E3" s="7">
        <v>94406</v>
      </c>
      <c r="F3" s="8">
        <v>42029</v>
      </c>
      <c r="G3" s="7">
        <v>1</v>
      </c>
      <c r="H3" s="7" t="s">
        <v>180</v>
      </c>
      <c r="I3" s="7" t="s">
        <v>185</v>
      </c>
    </row>
    <row r="4" spans="1:9" ht="19.95" customHeight="1" x14ac:dyDescent="0.3">
      <c r="A4" s="7" t="s">
        <v>13</v>
      </c>
      <c r="B4" s="7" t="s">
        <v>162</v>
      </c>
      <c r="C4" s="7" t="s">
        <v>168</v>
      </c>
      <c r="D4" s="7" t="s">
        <v>172</v>
      </c>
      <c r="E4" s="7">
        <v>64120</v>
      </c>
      <c r="F4" s="8">
        <v>42036</v>
      </c>
      <c r="G4" s="7">
        <v>1</v>
      </c>
      <c r="H4" s="7" t="s">
        <v>180</v>
      </c>
      <c r="I4" s="7" t="s">
        <v>186</v>
      </c>
    </row>
    <row r="5" spans="1:9" ht="19.95" customHeight="1" x14ac:dyDescent="0.3">
      <c r="A5" s="7" t="s">
        <v>19</v>
      </c>
      <c r="B5" s="7" t="s">
        <v>163</v>
      </c>
      <c r="C5" s="7" t="s">
        <v>166</v>
      </c>
      <c r="D5" s="7" t="s">
        <v>175</v>
      </c>
      <c r="E5" s="7">
        <v>64247</v>
      </c>
      <c r="F5" s="8">
        <v>42078</v>
      </c>
      <c r="G5" s="7">
        <v>1</v>
      </c>
      <c r="H5" s="7" t="s">
        <v>181</v>
      </c>
      <c r="I5" s="7" t="s">
        <v>191</v>
      </c>
    </row>
    <row r="6" spans="1:9" ht="19.95" customHeight="1" x14ac:dyDescent="0.3">
      <c r="A6" s="7" t="s">
        <v>26</v>
      </c>
      <c r="B6" s="7" t="s">
        <v>162</v>
      </c>
      <c r="C6" s="7" t="s">
        <v>166</v>
      </c>
      <c r="D6" s="7" t="s">
        <v>176</v>
      </c>
      <c r="E6" s="7">
        <v>41341</v>
      </c>
      <c r="F6" s="8">
        <v>42127</v>
      </c>
      <c r="G6" s="7">
        <v>1</v>
      </c>
      <c r="H6" s="7" t="s">
        <v>179</v>
      </c>
      <c r="I6" s="7" t="s">
        <v>197</v>
      </c>
    </row>
    <row r="7" spans="1:9" ht="19.95" customHeight="1" x14ac:dyDescent="0.3">
      <c r="A7" s="7" t="s">
        <v>33</v>
      </c>
      <c r="B7" s="7" t="s">
        <v>163</v>
      </c>
      <c r="C7" s="7" t="s">
        <v>166</v>
      </c>
      <c r="D7" s="7" t="s">
        <v>178</v>
      </c>
      <c r="E7" s="7">
        <v>91005</v>
      </c>
      <c r="F7" s="8">
        <v>42176</v>
      </c>
      <c r="G7" s="7">
        <v>1</v>
      </c>
      <c r="H7" s="7" t="s">
        <v>179</v>
      </c>
      <c r="I7" s="7" t="s">
        <v>204</v>
      </c>
    </row>
    <row r="8" spans="1:9" ht="19.95" customHeight="1" x14ac:dyDescent="0.3">
      <c r="A8" s="7" t="s">
        <v>39</v>
      </c>
      <c r="B8" s="7" t="s">
        <v>178</v>
      </c>
      <c r="C8" s="7" t="s">
        <v>170</v>
      </c>
      <c r="D8" s="7" t="s">
        <v>178</v>
      </c>
      <c r="E8" s="7">
        <v>92259</v>
      </c>
      <c r="F8" s="7" t="s">
        <v>178</v>
      </c>
      <c r="G8" s="7">
        <v>1</v>
      </c>
      <c r="H8" s="7" t="s">
        <v>178</v>
      </c>
      <c r="I8" s="7" t="s">
        <v>210</v>
      </c>
    </row>
    <row r="9" spans="1:9" ht="19.95" customHeight="1" x14ac:dyDescent="0.3">
      <c r="A9" s="7" t="s">
        <v>51</v>
      </c>
      <c r="B9" s="7" t="s">
        <v>165</v>
      </c>
      <c r="C9" s="7" t="s">
        <v>178</v>
      </c>
      <c r="D9" s="7" t="s">
        <v>176</v>
      </c>
      <c r="E9" s="7">
        <v>64913</v>
      </c>
      <c r="F9" s="8">
        <v>42302</v>
      </c>
      <c r="G9" s="7">
        <v>1</v>
      </c>
      <c r="H9" s="7" t="s">
        <v>181</v>
      </c>
      <c r="I9" s="7" t="s">
        <v>221</v>
      </c>
    </row>
    <row r="10" spans="1:9" ht="19.95" customHeight="1" x14ac:dyDescent="0.3">
      <c r="A10" s="7" t="s">
        <v>53</v>
      </c>
      <c r="B10" s="7" t="s">
        <v>164</v>
      </c>
      <c r="C10" s="7" t="s">
        <v>166</v>
      </c>
      <c r="D10" s="7" t="s">
        <v>178</v>
      </c>
      <c r="E10" s="7">
        <v>81610</v>
      </c>
      <c r="F10" s="8">
        <v>42316</v>
      </c>
      <c r="G10" s="7">
        <v>1</v>
      </c>
      <c r="H10" s="7" t="s">
        <v>178</v>
      </c>
      <c r="I10" s="7" t="s">
        <v>223</v>
      </c>
    </row>
    <row r="11" spans="1:9" ht="19.95" customHeight="1" x14ac:dyDescent="0.3">
      <c r="A11" s="7" t="s">
        <v>61</v>
      </c>
      <c r="B11" s="7" t="s">
        <v>159</v>
      </c>
      <c r="C11" s="7" t="s">
        <v>170</v>
      </c>
      <c r="D11" s="7" t="s">
        <v>178</v>
      </c>
      <c r="E11" s="7">
        <v>30280</v>
      </c>
      <c r="F11" s="8">
        <v>42372</v>
      </c>
      <c r="G11" s="7">
        <v>1</v>
      </c>
      <c r="H11" s="7" t="s">
        <v>178</v>
      </c>
      <c r="I11" s="7" t="s">
        <v>228</v>
      </c>
    </row>
    <row r="12" spans="1:9" ht="19.95" customHeight="1" x14ac:dyDescent="0.3">
      <c r="A12" s="7" t="s">
        <v>65</v>
      </c>
      <c r="B12" s="7" t="s">
        <v>161</v>
      </c>
      <c r="C12" s="7" t="s">
        <v>168</v>
      </c>
      <c r="D12" s="7" t="s">
        <v>176</v>
      </c>
      <c r="E12" s="7">
        <v>60011</v>
      </c>
      <c r="F12" s="8">
        <v>42400</v>
      </c>
      <c r="G12" s="7">
        <v>1</v>
      </c>
      <c r="H12" s="7" t="s">
        <v>180</v>
      </c>
      <c r="I12" s="7" t="s">
        <v>231</v>
      </c>
    </row>
    <row r="13" spans="1:9" ht="19.95" customHeight="1" x14ac:dyDescent="0.3">
      <c r="A13" s="7" t="s">
        <v>68</v>
      </c>
      <c r="B13" s="7" t="s">
        <v>163</v>
      </c>
      <c r="C13" s="7" t="s">
        <v>166</v>
      </c>
      <c r="D13" s="7" t="s">
        <v>173</v>
      </c>
      <c r="E13" s="7">
        <v>82033</v>
      </c>
      <c r="F13" s="8">
        <v>42421</v>
      </c>
      <c r="G13" s="7">
        <v>1</v>
      </c>
      <c r="H13" s="7" t="s">
        <v>178</v>
      </c>
      <c r="I13" s="7" t="s">
        <v>223</v>
      </c>
    </row>
    <row r="14" spans="1:9" ht="19.95" customHeight="1" x14ac:dyDescent="0.3">
      <c r="A14" s="7" t="s">
        <v>73</v>
      </c>
      <c r="B14" s="7" t="s">
        <v>161</v>
      </c>
      <c r="C14" s="7" t="s">
        <v>169</v>
      </c>
      <c r="D14" s="7" t="s">
        <v>174</v>
      </c>
      <c r="E14" s="7">
        <v>84737</v>
      </c>
      <c r="F14" s="8">
        <v>42456</v>
      </c>
      <c r="G14" s="7">
        <v>1</v>
      </c>
      <c r="H14" s="7" t="s">
        <v>180</v>
      </c>
      <c r="I14" s="7" t="s">
        <v>236</v>
      </c>
    </row>
    <row r="15" spans="1:9" ht="19.95" customHeight="1" x14ac:dyDescent="0.3">
      <c r="A15" s="7" t="s">
        <v>78</v>
      </c>
      <c r="B15" s="7" t="s">
        <v>165</v>
      </c>
      <c r="C15" s="7" t="s">
        <v>166</v>
      </c>
      <c r="D15" s="7" t="s">
        <v>174</v>
      </c>
      <c r="E15" s="7">
        <v>77096</v>
      </c>
      <c r="F15" s="8">
        <v>42491</v>
      </c>
      <c r="G15" s="7">
        <v>1</v>
      </c>
      <c r="H15" s="7" t="s">
        <v>178</v>
      </c>
      <c r="I15" s="7" t="s">
        <v>240</v>
      </c>
    </row>
    <row r="16" spans="1:9" ht="19.95" customHeight="1" x14ac:dyDescent="0.3">
      <c r="A16" s="7" t="s">
        <v>84</v>
      </c>
      <c r="B16" s="7" t="s">
        <v>178</v>
      </c>
      <c r="C16" s="7" t="s">
        <v>168</v>
      </c>
      <c r="D16" s="7" t="s">
        <v>178</v>
      </c>
      <c r="E16" s="7">
        <v>96142</v>
      </c>
      <c r="F16" s="8">
        <v>42533</v>
      </c>
      <c r="G16" s="7">
        <v>1</v>
      </c>
      <c r="H16" s="7" t="s">
        <v>179</v>
      </c>
      <c r="I16" s="7" t="s">
        <v>242</v>
      </c>
    </row>
    <row r="17" spans="1:9" ht="19.95" customHeight="1" x14ac:dyDescent="0.3">
      <c r="A17" s="7" t="s">
        <v>85</v>
      </c>
      <c r="B17" s="7" t="s">
        <v>159</v>
      </c>
      <c r="C17" s="7" t="s">
        <v>169</v>
      </c>
      <c r="D17" s="7" t="s">
        <v>174</v>
      </c>
      <c r="E17" s="7">
        <v>94301</v>
      </c>
      <c r="F17" s="8">
        <v>42540</v>
      </c>
      <c r="G17" s="7">
        <v>1</v>
      </c>
      <c r="H17" s="7" t="s">
        <v>180</v>
      </c>
      <c r="I17" s="7" t="s">
        <v>223</v>
      </c>
    </row>
    <row r="18" spans="1:9" ht="19.95" customHeight="1" x14ac:dyDescent="0.3">
      <c r="A18" s="7" t="s">
        <v>86</v>
      </c>
      <c r="B18" s="7" t="s">
        <v>162</v>
      </c>
      <c r="C18" s="7" t="s">
        <v>178</v>
      </c>
      <c r="D18" s="7" t="s">
        <v>175</v>
      </c>
      <c r="E18" s="7">
        <v>69166</v>
      </c>
      <c r="F18" s="8">
        <v>42547</v>
      </c>
      <c r="G18" s="7">
        <v>1</v>
      </c>
      <c r="H18" s="7" t="s">
        <v>181</v>
      </c>
      <c r="I18" s="7" t="s">
        <v>243</v>
      </c>
    </row>
    <row r="19" spans="1:9" ht="19.95" customHeight="1" x14ac:dyDescent="0.3">
      <c r="A19" s="7" t="s">
        <v>91</v>
      </c>
      <c r="B19" s="7" t="s">
        <v>159</v>
      </c>
      <c r="C19" s="7" t="s">
        <v>169</v>
      </c>
      <c r="D19" s="7" t="s">
        <v>175</v>
      </c>
      <c r="E19" s="7">
        <v>42262</v>
      </c>
      <c r="F19" s="8">
        <v>42582</v>
      </c>
      <c r="G19" s="7">
        <v>1</v>
      </c>
      <c r="H19" s="7" t="s">
        <v>178</v>
      </c>
      <c r="I19" s="7" t="s">
        <v>247</v>
      </c>
    </row>
    <row r="20" spans="1:9" ht="19.95" customHeight="1" x14ac:dyDescent="0.3">
      <c r="A20" s="7" t="s">
        <v>100</v>
      </c>
      <c r="B20" s="7" t="s">
        <v>160</v>
      </c>
      <c r="C20" s="7" t="s">
        <v>167</v>
      </c>
      <c r="D20" s="7" t="s">
        <v>176</v>
      </c>
      <c r="E20" s="7">
        <v>69420</v>
      </c>
      <c r="F20" s="8">
        <v>42645</v>
      </c>
      <c r="G20" s="7">
        <v>1</v>
      </c>
      <c r="H20" s="7" t="s">
        <v>180</v>
      </c>
      <c r="I20" s="7" t="s">
        <v>225</v>
      </c>
    </row>
    <row r="21" spans="1:9" ht="19.95" customHeight="1" x14ac:dyDescent="0.3">
      <c r="A21" s="7" t="s">
        <v>106</v>
      </c>
      <c r="B21" s="7" t="s">
        <v>163</v>
      </c>
      <c r="C21" s="7" t="s">
        <v>167</v>
      </c>
      <c r="D21" s="7" t="s">
        <v>172</v>
      </c>
      <c r="E21" s="7">
        <v>89333</v>
      </c>
      <c r="F21" s="8">
        <v>42687</v>
      </c>
      <c r="G21" s="7">
        <v>1</v>
      </c>
      <c r="H21" s="7" t="s">
        <v>180</v>
      </c>
      <c r="I21" s="7" t="s">
        <v>256</v>
      </c>
    </row>
    <row r="22" spans="1:9" ht="19.95" customHeight="1" x14ac:dyDescent="0.3">
      <c r="A22" s="7" t="s">
        <v>113</v>
      </c>
      <c r="B22" s="7" t="s">
        <v>162</v>
      </c>
      <c r="C22" s="7" t="s">
        <v>178</v>
      </c>
      <c r="D22" s="7" t="s">
        <v>176</v>
      </c>
      <c r="E22" s="7">
        <v>61556</v>
      </c>
      <c r="F22" s="8">
        <v>42736</v>
      </c>
      <c r="G22" s="7">
        <v>1</v>
      </c>
      <c r="H22" s="7" t="s">
        <v>178</v>
      </c>
      <c r="I22" s="7" t="s">
        <v>259</v>
      </c>
    </row>
    <row r="23" spans="1:9" ht="19.95" customHeight="1" x14ac:dyDescent="0.3">
      <c r="A23" s="7" t="s">
        <v>117</v>
      </c>
      <c r="B23" s="7" t="s">
        <v>163</v>
      </c>
      <c r="C23" s="7" t="s">
        <v>167</v>
      </c>
      <c r="D23" s="7" t="s">
        <v>178</v>
      </c>
      <c r="E23" s="7">
        <v>66761</v>
      </c>
      <c r="F23" s="8">
        <v>42764</v>
      </c>
      <c r="G23" s="7">
        <v>1</v>
      </c>
      <c r="H23" s="7" t="s">
        <v>178</v>
      </c>
      <c r="I23" s="7" t="s">
        <v>262</v>
      </c>
    </row>
    <row r="24" spans="1:9" ht="19.95" customHeight="1" x14ac:dyDescent="0.3">
      <c r="A24" s="7" t="s">
        <v>118</v>
      </c>
      <c r="B24" s="7" t="s">
        <v>162</v>
      </c>
      <c r="C24" s="7" t="s">
        <v>178</v>
      </c>
      <c r="D24" s="7" t="s">
        <v>174</v>
      </c>
      <c r="E24" s="7">
        <v>88850</v>
      </c>
      <c r="F24" s="8">
        <v>42771</v>
      </c>
      <c r="G24" s="7">
        <v>1</v>
      </c>
      <c r="H24" s="7" t="s">
        <v>181</v>
      </c>
      <c r="I24" s="7" t="s">
        <v>263</v>
      </c>
    </row>
    <row r="25" spans="1:9" ht="19.95" customHeight="1" x14ac:dyDescent="0.3">
      <c r="A25" s="7" t="s">
        <v>122</v>
      </c>
      <c r="B25" s="7" t="s">
        <v>160</v>
      </c>
      <c r="C25" s="7" t="s">
        <v>169</v>
      </c>
      <c r="D25" s="7" t="s">
        <v>173</v>
      </c>
      <c r="E25" s="7">
        <v>47653</v>
      </c>
      <c r="F25" s="8">
        <v>42799</v>
      </c>
      <c r="G25" s="7">
        <v>1</v>
      </c>
      <c r="H25" s="7" t="s">
        <v>180</v>
      </c>
      <c r="I25" s="7" t="s">
        <v>265</v>
      </c>
    </row>
    <row r="26" spans="1:9" ht="19.95" customHeight="1" x14ac:dyDescent="0.3">
      <c r="A26" s="7" t="s">
        <v>126</v>
      </c>
      <c r="B26" s="7" t="s">
        <v>165</v>
      </c>
      <c r="C26" s="7" t="s">
        <v>170</v>
      </c>
      <c r="D26" s="7" t="s">
        <v>178</v>
      </c>
      <c r="E26" s="7">
        <v>73483</v>
      </c>
      <c r="F26" s="8">
        <v>42827</v>
      </c>
      <c r="G26" s="7">
        <v>1</v>
      </c>
      <c r="H26" s="7" t="s">
        <v>178</v>
      </c>
      <c r="I26" s="7" t="s">
        <v>266</v>
      </c>
    </row>
    <row r="27" spans="1:9" ht="19.95" customHeight="1" x14ac:dyDescent="0.3">
      <c r="A27" s="7" t="s">
        <v>133</v>
      </c>
      <c r="B27" s="7" t="s">
        <v>161</v>
      </c>
      <c r="C27" s="7" t="s">
        <v>169</v>
      </c>
      <c r="D27" s="7" t="s">
        <v>178</v>
      </c>
      <c r="E27" s="7">
        <v>60034</v>
      </c>
      <c r="F27" s="8">
        <v>42876</v>
      </c>
      <c r="G27" s="7">
        <v>1</v>
      </c>
      <c r="H27" s="7" t="s">
        <v>181</v>
      </c>
      <c r="I27" s="7" t="s">
        <v>271</v>
      </c>
    </row>
    <row r="28" spans="1:9" ht="19.95" customHeight="1" x14ac:dyDescent="0.3">
      <c r="A28" s="7" t="s">
        <v>137</v>
      </c>
      <c r="B28" s="7" t="s">
        <v>164</v>
      </c>
      <c r="C28" s="7" t="s">
        <v>168</v>
      </c>
      <c r="D28" s="7" t="s">
        <v>173</v>
      </c>
      <c r="E28" s="7">
        <v>30402</v>
      </c>
      <c r="F28" s="8">
        <v>42904</v>
      </c>
      <c r="G28" s="7">
        <v>1</v>
      </c>
      <c r="H28" s="7" t="s">
        <v>178</v>
      </c>
      <c r="I28" s="7" t="s">
        <v>274</v>
      </c>
    </row>
    <row r="29" spans="1:9" ht="19.95" customHeight="1" x14ac:dyDescent="0.3">
      <c r="A29" s="7" t="s">
        <v>143</v>
      </c>
      <c r="B29" s="7" t="s">
        <v>159</v>
      </c>
      <c r="C29" s="7" t="s">
        <v>170</v>
      </c>
      <c r="D29" s="7" t="s">
        <v>174</v>
      </c>
      <c r="E29" s="7">
        <v>62476</v>
      </c>
      <c r="F29" s="8">
        <v>42946</v>
      </c>
      <c r="G29" s="7">
        <v>1</v>
      </c>
      <c r="H29" s="7" t="s">
        <v>179</v>
      </c>
      <c r="I29" s="7" t="s">
        <v>231</v>
      </c>
    </row>
    <row r="30" spans="1:9" ht="19.95" customHeight="1" x14ac:dyDescent="0.3">
      <c r="A30" s="7" t="s">
        <v>156</v>
      </c>
      <c r="B30" s="7" t="s">
        <v>165</v>
      </c>
      <c r="C30" s="7" t="s">
        <v>168</v>
      </c>
      <c r="D30" s="7" t="s">
        <v>176</v>
      </c>
      <c r="E30" s="7">
        <v>65270</v>
      </c>
      <c r="F30" s="8">
        <v>43037</v>
      </c>
      <c r="G30" s="7">
        <v>1</v>
      </c>
      <c r="H30" s="7" t="s">
        <v>178</v>
      </c>
      <c r="I30" s="7" t="s">
        <v>279</v>
      </c>
    </row>
    <row r="31" spans="1:9" ht="19.95" customHeight="1" x14ac:dyDescent="0.3">
      <c r="A31" s="7" t="s">
        <v>157</v>
      </c>
      <c r="B31" s="7" t="s">
        <v>165</v>
      </c>
      <c r="C31" s="7" t="s">
        <v>178</v>
      </c>
      <c r="D31" s="7" t="s">
        <v>175</v>
      </c>
      <c r="E31" s="7">
        <v>67335</v>
      </c>
      <c r="F31" s="8">
        <v>43044</v>
      </c>
      <c r="G31" s="7">
        <v>1</v>
      </c>
      <c r="H31" s="7" t="s">
        <v>179</v>
      </c>
      <c r="I31" s="7" t="s">
        <v>233</v>
      </c>
    </row>
    <row r="32" spans="1:9" ht="19.95" customHeight="1" x14ac:dyDescent="0.3">
      <c r="A32" s="7" t="s">
        <v>9</v>
      </c>
      <c r="B32" s="7" t="s">
        <v>178</v>
      </c>
      <c r="C32" s="7" t="s">
        <v>166</v>
      </c>
      <c r="D32" s="7" t="s">
        <v>178</v>
      </c>
      <c r="E32" s="7" t="s">
        <v>178</v>
      </c>
      <c r="F32" s="7" t="s">
        <v>178</v>
      </c>
      <c r="G32" s="7">
        <v>2</v>
      </c>
      <c r="H32" s="7" t="s">
        <v>178</v>
      </c>
      <c r="I32" s="7" t="s">
        <v>178</v>
      </c>
    </row>
    <row r="33" spans="1:9" ht="19.95" customHeight="1" x14ac:dyDescent="0.3">
      <c r="A33" s="7" t="s">
        <v>11</v>
      </c>
      <c r="B33" s="7" t="s">
        <v>160</v>
      </c>
      <c r="C33" s="7" t="s">
        <v>166</v>
      </c>
      <c r="D33" s="7" t="s">
        <v>172</v>
      </c>
      <c r="E33" s="7">
        <v>63184</v>
      </c>
      <c r="F33" s="8">
        <v>42022</v>
      </c>
      <c r="G33" s="7">
        <v>2</v>
      </c>
      <c r="H33" s="7" t="s">
        <v>178</v>
      </c>
      <c r="I33" s="7" t="s">
        <v>184</v>
      </c>
    </row>
    <row r="34" spans="1:9" ht="19.95" customHeight="1" x14ac:dyDescent="0.3">
      <c r="A34" s="7" t="s">
        <v>14</v>
      </c>
      <c r="B34" s="7" t="s">
        <v>160</v>
      </c>
      <c r="C34" s="7" t="s">
        <v>169</v>
      </c>
      <c r="D34" s="7" t="s">
        <v>174</v>
      </c>
      <c r="E34" s="7">
        <v>78421</v>
      </c>
      <c r="F34" s="8">
        <v>42043</v>
      </c>
      <c r="G34" s="7">
        <v>2</v>
      </c>
      <c r="H34" s="7" t="s">
        <v>181</v>
      </c>
      <c r="I34" s="7" t="s">
        <v>187</v>
      </c>
    </row>
    <row r="35" spans="1:9" ht="19.95" customHeight="1" x14ac:dyDescent="0.3">
      <c r="A35" s="7" t="s">
        <v>16</v>
      </c>
      <c r="B35" s="7" t="s">
        <v>164</v>
      </c>
      <c r="C35" s="7" t="s">
        <v>170</v>
      </c>
      <c r="D35" s="7" t="s">
        <v>178</v>
      </c>
      <c r="E35" s="7">
        <v>35364</v>
      </c>
      <c r="F35" s="8">
        <v>42057</v>
      </c>
      <c r="G35" s="7">
        <v>2</v>
      </c>
      <c r="H35" s="7" t="s">
        <v>179</v>
      </c>
      <c r="I35" s="7" t="s">
        <v>188</v>
      </c>
    </row>
    <row r="36" spans="1:9" ht="19.95" customHeight="1" x14ac:dyDescent="0.3">
      <c r="A36" s="7" t="s">
        <v>23</v>
      </c>
      <c r="B36" s="7" t="s">
        <v>162</v>
      </c>
      <c r="C36" s="7" t="s">
        <v>167</v>
      </c>
      <c r="D36" s="7" t="s">
        <v>178</v>
      </c>
      <c r="E36" s="7">
        <v>59894</v>
      </c>
      <c r="F36" s="8">
        <v>42106</v>
      </c>
      <c r="G36" s="7">
        <v>2</v>
      </c>
      <c r="H36" s="7" t="s">
        <v>180</v>
      </c>
      <c r="I36" s="7" t="s">
        <v>194</v>
      </c>
    </row>
    <row r="37" spans="1:9" ht="19.95" customHeight="1" x14ac:dyDescent="0.3">
      <c r="A37" s="7" t="s">
        <v>29</v>
      </c>
      <c r="B37" s="7" t="s">
        <v>162</v>
      </c>
      <c r="C37" s="7" t="s">
        <v>167</v>
      </c>
      <c r="D37" s="7" t="s">
        <v>173</v>
      </c>
      <c r="E37" s="7" t="s">
        <v>178</v>
      </c>
      <c r="F37" s="8">
        <v>42148</v>
      </c>
      <c r="G37" s="7">
        <v>2</v>
      </c>
      <c r="H37" s="7" t="s">
        <v>179</v>
      </c>
      <c r="I37" s="7" t="s">
        <v>200</v>
      </c>
    </row>
    <row r="38" spans="1:9" ht="19.95" customHeight="1" x14ac:dyDescent="0.3">
      <c r="A38" s="7" t="s">
        <v>35</v>
      </c>
      <c r="B38" s="7" t="s">
        <v>159</v>
      </c>
      <c r="C38" s="7" t="s">
        <v>168</v>
      </c>
      <c r="D38" s="7" t="s">
        <v>172</v>
      </c>
      <c r="E38" s="7">
        <v>76518</v>
      </c>
      <c r="F38" s="8">
        <v>42190</v>
      </c>
      <c r="G38" s="7">
        <v>2</v>
      </c>
      <c r="H38" s="7" t="s">
        <v>181</v>
      </c>
      <c r="I38" s="7" t="s">
        <v>206</v>
      </c>
    </row>
    <row r="39" spans="1:9" ht="19.95" customHeight="1" x14ac:dyDescent="0.3">
      <c r="A39" s="7" t="s">
        <v>37</v>
      </c>
      <c r="B39" s="7" t="s">
        <v>161</v>
      </c>
      <c r="C39" s="7" t="s">
        <v>167</v>
      </c>
      <c r="D39" s="7" t="s">
        <v>175</v>
      </c>
      <c r="E39" s="7">
        <v>49282</v>
      </c>
      <c r="F39" s="8">
        <v>42204</v>
      </c>
      <c r="G39" s="7">
        <v>2</v>
      </c>
      <c r="H39" s="7" t="s">
        <v>181</v>
      </c>
      <c r="I39" s="7" t="s">
        <v>208</v>
      </c>
    </row>
    <row r="40" spans="1:9" ht="19.95" customHeight="1" x14ac:dyDescent="0.3">
      <c r="A40" s="7" t="s">
        <v>57</v>
      </c>
      <c r="B40" s="7" t="s">
        <v>161</v>
      </c>
      <c r="C40" s="7" t="s">
        <v>166</v>
      </c>
      <c r="D40" s="7" t="s">
        <v>178</v>
      </c>
      <c r="E40" s="7">
        <v>66513</v>
      </c>
      <c r="F40" s="8">
        <v>42344</v>
      </c>
      <c r="G40" s="7">
        <v>2</v>
      </c>
      <c r="H40" s="7" t="s">
        <v>179</v>
      </c>
      <c r="I40" s="7" t="s">
        <v>187</v>
      </c>
    </row>
    <row r="41" spans="1:9" ht="19.95" customHeight="1" x14ac:dyDescent="0.3">
      <c r="A41" s="7" t="s">
        <v>59</v>
      </c>
      <c r="B41" s="7" t="s">
        <v>164</v>
      </c>
      <c r="C41" s="7" t="s">
        <v>178</v>
      </c>
      <c r="D41" s="7" t="s">
        <v>178</v>
      </c>
      <c r="E41" s="7">
        <v>30686</v>
      </c>
      <c r="F41" s="7" t="s">
        <v>178</v>
      </c>
      <c r="G41" s="7">
        <v>2</v>
      </c>
      <c r="H41" s="7" t="s">
        <v>181</v>
      </c>
      <c r="I41" s="7" t="s">
        <v>226</v>
      </c>
    </row>
    <row r="42" spans="1:9" ht="19.95" customHeight="1" x14ac:dyDescent="0.3">
      <c r="A42" s="7" t="s">
        <v>70</v>
      </c>
      <c r="B42" s="7" t="s">
        <v>159</v>
      </c>
      <c r="C42" s="7" t="s">
        <v>178</v>
      </c>
      <c r="D42" s="7" t="s">
        <v>176</v>
      </c>
      <c r="E42" s="7">
        <v>31499</v>
      </c>
      <c r="F42" s="8">
        <v>42435</v>
      </c>
      <c r="G42" s="7">
        <v>2</v>
      </c>
      <c r="H42" s="7" t="s">
        <v>178</v>
      </c>
      <c r="I42" s="7" t="s">
        <v>215</v>
      </c>
    </row>
    <row r="43" spans="1:9" ht="19.95" customHeight="1" x14ac:dyDescent="0.3">
      <c r="A43" s="7" t="s">
        <v>72</v>
      </c>
      <c r="B43" s="7" t="s">
        <v>159</v>
      </c>
      <c r="C43" s="7" t="s">
        <v>167</v>
      </c>
      <c r="D43" s="7" t="s">
        <v>173</v>
      </c>
      <c r="E43" s="7">
        <v>36541</v>
      </c>
      <c r="F43" s="8">
        <v>42449</v>
      </c>
      <c r="G43" s="7">
        <v>2</v>
      </c>
      <c r="H43" s="7" t="s">
        <v>179</v>
      </c>
      <c r="I43" s="7" t="s">
        <v>235</v>
      </c>
    </row>
    <row r="44" spans="1:9" ht="19.95" customHeight="1" x14ac:dyDescent="0.3">
      <c r="A44" s="7" t="s">
        <v>77</v>
      </c>
      <c r="B44" s="7" t="s">
        <v>163</v>
      </c>
      <c r="C44" s="7" t="s">
        <v>166</v>
      </c>
      <c r="D44" s="7" t="s">
        <v>175</v>
      </c>
      <c r="E44" s="7">
        <v>41467</v>
      </c>
      <c r="F44" s="8">
        <v>42484</v>
      </c>
      <c r="G44" s="7">
        <v>2</v>
      </c>
      <c r="H44" s="7" t="s">
        <v>178</v>
      </c>
      <c r="I44" s="7" t="s">
        <v>201</v>
      </c>
    </row>
    <row r="45" spans="1:9" ht="19.95" customHeight="1" x14ac:dyDescent="0.3">
      <c r="A45" s="7" t="s">
        <v>87</v>
      </c>
      <c r="B45" s="7" t="s">
        <v>163</v>
      </c>
      <c r="C45" s="7" t="s">
        <v>178</v>
      </c>
      <c r="D45" s="7" t="s">
        <v>175</v>
      </c>
      <c r="E45" s="7">
        <v>78245</v>
      </c>
      <c r="F45" s="8">
        <v>42554</v>
      </c>
      <c r="G45" s="7">
        <v>2</v>
      </c>
      <c r="H45" s="7" t="s">
        <v>178</v>
      </c>
      <c r="I45" s="7" t="s">
        <v>244</v>
      </c>
    </row>
    <row r="46" spans="1:9" ht="19.95" customHeight="1" x14ac:dyDescent="0.3">
      <c r="A46" s="7" t="s">
        <v>88</v>
      </c>
      <c r="B46" s="7" t="s">
        <v>164</v>
      </c>
      <c r="C46" s="7" t="s">
        <v>168</v>
      </c>
      <c r="D46" s="7" t="s">
        <v>173</v>
      </c>
      <c r="E46" s="7">
        <v>66079</v>
      </c>
      <c r="F46" s="8">
        <v>42561</v>
      </c>
      <c r="G46" s="7">
        <v>2</v>
      </c>
      <c r="H46" s="7" t="s">
        <v>179</v>
      </c>
      <c r="I46" s="7" t="s">
        <v>245</v>
      </c>
    </row>
    <row r="47" spans="1:9" ht="19.95" customHeight="1" x14ac:dyDescent="0.3">
      <c r="A47" s="7" t="s">
        <v>109</v>
      </c>
      <c r="B47" s="7" t="s">
        <v>165</v>
      </c>
      <c r="C47" s="7" t="s">
        <v>170</v>
      </c>
      <c r="D47" s="7" t="s">
        <v>178</v>
      </c>
      <c r="E47" s="7" t="s">
        <v>178</v>
      </c>
      <c r="F47" s="8">
        <v>42708</v>
      </c>
      <c r="G47" s="7">
        <v>2</v>
      </c>
      <c r="H47" s="7" t="s">
        <v>179</v>
      </c>
      <c r="I47" s="7" t="s">
        <v>259</v>
      </c>
    </row>
    <row r="48" spans="1:9" ht="19.95" customHeight="1" x14ac:dyDescent="0.3">
      <c r="A48" s="7" t="s">
        <v>116</v>
      </c>
      <c r="B48" s="7" t="s">
        <v>163</v>
      </c>
      <c r="C48" s="7" t="s">
        <v>170</v>
      </c>
      <c r="D48" s="7" t="s">
        <v>176</v>
      </c>
      <c r="E48" s="7">
        <v>86412</v>
      </c>
      <c r="F48" s="8">
        <v>42757</v>
      </c>
      <c r="G48" s="7">
        <v>2</v>
      </c>
      <c r="H48" s="7" t="s">
        <v>181</v>
      </c>
      <c r="I48" s="7" t="s">
        <v>202</v>
      </c>
    </row>
    <row r="49" spans="1:9" ht="19.95" customHeight="1" x14ac:dyDescent="0.3">
      <c r="A49" s="7" t="s">
        <v>119</v>
      </c>
      <c r="B49" s="7" t="s">
        <v>164</v>
      </c>
      <c r="C49" s="7" t="s">
        <v>168</v>
      </c>
      <c r="D49" s="7" t="s">
        <v>174</v>
      </c>
      <c r="E49" s="7">
        <v>31293</v>
      </c>
      <c r="F49" s="7" t="s">
        <v>178</v>
      </c>
      <c r="G49" s="7">
        <v>2</v>
      </c>
      <c r="H49" s="7" t="s">
        <v>181</v>
      </c>
      <c r="I49" s="7" t="s">
        <v>264</v>
      </c>
    </row>
    <row r="50" spans="1:9" ht="19.95" customHeight="1" x14ac:dyDescent="0.3">
      <c r="A50" s="7" t="s">
        <v>130</v>
      </c>
      <c r="B50" s="7" t="s">
        <v>164</v>
      </c>
      <c r="C50" s="7" t="s">
        <v>168</v>
      </c>
      <c r="D50" s="7" t="s">
        <v>173</v>
      </c>
      <c r="E50" s="7">
        <v>45676</v>
      </c>
      <c r="F50" s="8">
        <v>42855</v>
      </c>
      <c r="G50" s="7">
        <v>2</v>
      </c>
      <c r="H50" s="7" t="s">
        <v>178</v>
      </c>
      <c r="I50" s="7" t="s">
        <v>269</v>
      </c>
    </row>
    <row r="51" spans="1:9" ht="19.95" customHeight="1" x14ac:dyDescent="0.3">
      <c r="A51" s="7" t="s">
        <v>136</v>
      </c>
      <c r="B51" s="7" t="s">
        <v>161</v>
      </c>
      <c r="C51" s="7" t="s">
        <v>166</v>
      </c>
      <c r="D51" s="7" t="s">
        <v>173</v>
      </c>
      <c r="E51" s="7">
        <v>91953</v>
      </c>
      <c r="F51" s="8">
        <v>42897</v>
      </c>
      <c r="G51" s="7">
        <v>2</v>
      </c>
      <c r="H51" s="7" t="s">
        <v>180</v>
      </c>
      <c r="I51" s="7" t="s">
        <v>209</v>
      </c>
    </row>
    <row r="52" spans="1:9" ht="19.95" customHeight="1" x14ac:dyDescent="0.3">
      <c r="A52" s="7" t="s">
        <v>148</v>
      </c>
      <c r="B52" s="7" t="s">
        <v>165</v>
      </c>
      <c r="C52" s="7" t="s">
        <v>169</v>
      </c>
      <c r="D52" s="7" t="s">
        <v>178</v>
      </c>
      <c r="E52" s="7">
        <v>73348</v>
      </c>
      <c r="F52" s="8">
        <v>42981</v>
      </c>
      <c r="G52" s="7">
        <v>2</v>
      </c>
      <c r="H52" s="7" t="s">
        <v>178</v>
      </c>
      <c r="I52" s="7" t="s">
        <v>243</v>
      </c>
    </row>
    <row r="53" spans="1:9" ht="19.95" customHeight="1" x14ac:dyDescent="0.3">
      <c r="A53" s="7" t="s">
        <v>153</v>
      </c>
      <c r="B53" s="7" t="s">
        <v>159</v>
      </c>
      <c r="C53" s="7" t="s">
        <v>178</v>
      </c>
      <c r="D53" s="7" t="s">
        <v>178</v>
      </c>
      <c r="E53" s="7">
        <v>94148</v>
      </c>
      <c r="F53" s="8">
        <v>43016</v>
      </c>
      <c r="G53" s="7">
        <v>2</v>
      </c>
      <c r="H53" s="7" t="s">
        <v>178</v>
      </c>
      <c r="I53" s="7" t="s">
        <v>278</v>
      </c>
    </row>
    <row r="54" spans="1:9" ht="19.95" customHeight="1" x14ac:dyDescent="0.3">
      <c r="A54" s="7" t="s">
        <v>155</v>
      </c>
      <c r="B54" s="7" t="s">
        <v>161</v>
      </c>
      <c r="C54" s="7" t="s">
        <v>170</v>
      </c>
      <c r="D54" s="7" t="s">
        <v>173</v>
      </c>
      <c r="E54" s="7">
        <v>57141</v>
      </c>
      <c r="F54" s="8">
        <v>43030</v>
      </c>
      <c r="G54" s="7">
        <v>2</v>
      </c>
      <c r="H54" s="7" t="s">
        <v>178</v>
      </c>
      <c r="I54" s="7" t="s">
        <v>276</v>
      </c>
    </row>
    <row r="55" spans="1:9" ht="19.95" customHeight="1" x14ac:dyDescent="0.3">
      <c r="A55" s="7" t="s">
        <v>24</v>
      </c>
      <c r="B55" s="7" t="s">
        <v>178</v>
      </c>
      <c r="C55" s="7" t="s">
        <v>169</v>
      </c>
      <c r="D55" s="7" t="s">
        <v>174</v>
      </c>
      <c r="E55" s="7">
        <v>92443</v>
      </c>
      <c r="F55" s="8">
        <v>42113</v>
      </c>
      <c r="G55" s="7">
        <v>3</v>
      </c>
      <c r="H55" s="7" t="s">
        <v>179</v>
      </c>
      <c r="I55" s="7" t="s">
        <v>195</v>
      </c>
    </row>
    <row r="56" spans="1:9" ht="19.95" customHeight="1" x14ac:dyDescent="0.3">
      <c r="A56" s="7" t="s">
        <v>32</v>
      </c>
      <c r="B56" s="7" t="s">
        <v>160</v>
      </c>
      <c r="C56" s="7" t="s">
        <v>170</v>
      </c>
      <c r="D56" s="7" t="s">
        <v>175</v>
      </c>
      <c r="E56" s="7">
        <v>36515</v>
      </c>
      <c r="F56" s="8">
        <v>42169</v>
      </c>
      <c r="G56" s="7">
        <v>3</v>
      </c>
      <c r="H56" s="7" t="s">
        <v>180</v>
      </c>
      <c r="I56" s="7" t="s">
        <v>203</v>
      </c>
    </row>
    <row r="57" spans="1:9" ht="19.95" customHeight="1" x14ac:dyDescent="0.3">
      <c r="A57" s="7" t="s">
        <v>34</v>
      </c>
      <c r="B57" s="7" t="s">
        <v>164</v>
      </c>
      <c r="C57" s="7" t="s">
        <v>178</v>
      </c>
      <c r="D57" s="7" t="s">
        <v>178</v>
      </c>
      <c r="E57" s="7">
        <v>52272</v>
      </c>
      <c r="F57" s="8">
        <v>42183</v>
      </c>
      <c r="G57" s="7">
        <v>3</v>
      </c>
      <c r="H57" s="7" t="s">
        <v>178</v>
      </c>
      <c r="I57" s="7" t="s">
        <v>205</v>
      </c>
    </row>
    <row r="58" spans="1:9" ht="19.95" customHeight="1" x14ac:dyDescent="0.3">
      <c r="A58" s="7" t="s">
        <v>36</v>
      </c>
      <c r="B58" s="7" t="s">
        <v>160</v>
      </c>
      <c r="C58" s="7" t="s">
        <v>169</v>
      </c>
      <c r="D58" s="7" t="s">
        <v>175</v>
      </c>
      <c r="E58" s="7">
        <v>41448</v>
      </c>
      <c r="F58" s="8">
        <v>42197</v>
      </c>
      <c r="G58" s="7">
        <v>3</v>
      </c>
      <c r="H58" s="7" t="s">
        <v>179</v>
      </c>
      <c r="I58" s="7" t="s">
        <v>207</v>
      </c>
    </row>
    <row r="59" spans="1:9" ht="19.95" customHeight="1" x14ac:dyDescent="0.3">
      <c r="A59" s="7" t="s">
        <v>40</v>
      </c>
      <c r="B59" s="7" t="s">
        <v>159</v>
      </c>
      <c r="C59" s="7" t="s">
        <v>167</v>
      </c>
      <c r="D59" s="7" t="s">
        <v>172</v>
      </c>
      <c r="E59" s="7">
        <v>92299</v>
      </c>
      <c r="F59" s="8">
        <v>42225</v>
      </c>
      <c r="G59" s="7">
        <v>3</v>
      </c>
      <c r="H59" s="7" t="s">
        <v>180</v>
      </c>
      <c r="I59" s="7" t="s">
        <v>211</v>
      </c>
    </row>
    <row r="60" spans="1:9" ht="19.95" customHeight="1" x14ac:dyDescent="0.3">
      <c r="A60" s="7" t="s">
        <v>41</v>
      </c>
      <c r="B60" s="7" t="s">
        <v>163</v>
      </c>
      <c r="C60" s="7" t="s">
        <v>167</v>
      </c>
      <c r="D60" s="7" t="s">
        <v>178</v>
      </c>
      <c r="E60" s="7">
        <v>95586</v>
      </c>
      <c r="F60" s="8">
        <v>42232</v>
      </c>
      <c r="G60" s="7">
        <v>3</v>
      </c>
      <c r="H60" s="7" t="s">
        <v>179</v>
      </c>
      <c r="I60" s="7" t="s">
        <v>212</v>
      </c>
    </row>
    <row r="61" spans="1:9" ht="19.95" customHeight="1" x14ac:dyDescent="0.3">
      <c r="A61" s="7" t="s">
        <v>43</v>
      </c>
      <c r="B61" s="7" t="s">
        <v>161</v>
      </c>
      <c r="C61" s="7" t="s">
        <v>168</v>
      </c>
      <c r="D61" s="7" t="s">
        <v>176</v>
      </c>
      <c r="E61" s="7">
        <v>79549</v>
      </c>
      <c r="F61" s="8">
        <v>42246</v>
      </c>
      <c r="G61" s="7">
        <v>3</v>
      </c>
      <c r="H61" s="7" t="s">
        <v>178</v>
      </c>
      <c r="I61" s="7" t="s">
        <v>214</v>
      </c>
    </row>
    <row r="62" spans="1:9" ht="19.95" customHeight="1" x14ac:dyDescent="0.3">
      <c r="A62" s="7" t="s">
        <v>48</v>
      </c>
      <c r="B62" s="7" t="s">
        <v>164</v>
      </c>
      <c r="C62" s="7" t="s">
        <v>167</v>
      </c>
      <c r="D62" s="7" t="s">
        <v>175</v>
      </c>
      <c r="E62" s="7">
        <v>48224</v>
      </c>
      <c r="F62" s="8">
        <v>42281</v>
      </c>
      <c r="G62" s="7">
        <v>3</v>
      </c>
      <c r="H62" s="7" t="s">
        <v>178</v>
      </c>
      <c r="I62" s="7" t="s">
        <v>218</v>
      </c>
    </row>
    <row r="63" spans="1:9" ht="19.95" customHeight="1" x14ac:dyDescent="0.3">
      <c r="A63" s="7" t="s">
        <v>54</v>
      </c>
      <c r="B63" s="7" t="s">
        <v>178</v>
      </c>
      <c r="C63" s="7" t="s">
        <v>167</v>
      </c>
      <c r="D63" s="7" t="s">
        <v>178</v>
      </c>
      <c r="E63" s="7">
        <v>58962</v>
      </c>
      <c r="F63" s="8">
        <v>42323</v>
      </c>
      <c r="G63" s="7">
        <v>3</v>
      </c>
      <c r="H63" s="7" t="s">
        <v>179</v>
      </c>
      <c r="I63" s="7" t="s">
        <v>183</v>
      </c>
    </row>
    <row r="64" spans="1:9" ht="19.95" customHeight="1" x14ac:dyDescent="0.3">
      <c r="A64" s="7" t="s">
        <v>55</v>
      </c>
      <c r="B64" s="7" t="s">
        <v>164</v>
      </c>
      <c r="C64" s="7" t="s">
        <v>169</v>
      </c>
      <c r="D64" s="7" t="s">
        <v>172</v>
      </c>
      <c r="E64" s="7">
        <v>92701</v>
      </c>
      <c r="F64" s="8">
        <v>42330</v>
      </c>
      <c r="G64" s="7">
        <v>3</v>
      </c>
      <c r="H64" s="7" t="s">
        <v>179</v>
      </c>
      <c r="I64" s="7" t="s">
        <v>224</v>
      </c>
    </row>
    <row r="65" spans="1:9" ht="19.95" customHeight="1" x14ac:dyDescent="0.3">
      <c r="A65" s="7" t="s">
        <v>62</v>
      </c>
      <c r="B65" s="7" t="s">
        <v>159</v>
      </c>
      <c r="C65" s="7" t="s">
        <v>166</v>
      </c>
      <c r="D65" s="7" t="s">
        <v>175</v>
      </c>
      <c r="E65" s="7">
        <v>33352</v>
      </c>
      <c r="F65" s="8">
        <v>42379</v>
      </c>
      <c r="G65" s="7">
        <v>3</v>
      </c>
      <c r="H65" s="7" t="s">
        <v>181</v>
      </c>
      <c r="I65" s="7" t="s">
        <v>200</v>
      </c>
    </row>
    <row r="66" spans="1:9" ht="19.95" customHeight="1" x14ac:dyDescent="0.3">
      <c r="A66" s="7" t="s">
        <v>66</v>
      </c>
      <c r="B66" s="7" t="s">
        <v>159</v>
      </c>
      <c r="C66" s="7" t="s">
        <v>178</v>
      </c>
      <c r="D66" s="7" t="s">
        <v>174</v>
      </c>
      <c r="E66" s="7">
        <v>96949</v>
      </c>
      <c r="F66" s="8">
        <v>42407</v>
      </c>
      <c r="G66" s="7">
        <v>3</v>
      </c>
      <c r="H66" s="7" t="s">
        <v>178</v>
      </c>
      <c r="I66" s="7" t="s">
        <v>207</v>
      </c>
    </row>
    <row r="67" spans="1:9" ht="19.95" customHeight="1" x14ac:dyDescent="0.3">
      <c r="A67" s="7" t="s">
        <v>75</v>
      </c>
      <c r="B67" s="7" t="s">
        <v>163</v>
      </c>
      <c r="C67" s="7" t="s">
        <v>178</v>
      </c>
      <c r="D67" s="7" t="s">
        <v>176</v>
      </c>
      <c r="E67" s="7">
        <v>96365</v>
      </c>
      <c r="F67" s="8">
        <v>42470</v>
      </c>
      <c r="G67" s="7">
        <v>3</v>
      </c>
      <c r="H67" s="7" t="s">
        <v>179</v>
      </c>
      <c r="I67" s="7" t="s">
        <v>238</v>
      </c>
    </row>
    <row r="68" spans="1:9" ht="19.95" customHeight="1" x14ac:dyDescent="0.3">
      <c r="A68" s="7" t="s">
        <v>76</v>
      </c>
      <c r="B68" s="7" t="s">
        <v>160</v>
      </c>
      <c r="C68" s="7" t="s">
        <v>168</v>
      </c>
      <c r="D68" s="7" t="s">
        <v>174</v>
      </c>
      <c r="E68" s="7">
        <v>61942</v>
      </c>
      <c r="F68" s="8">
        <v>42477</v>
      </c>
      <c r="G68" s="7">
        <v>3</v>
      </c>
      <c r="H68" s="7" t="s">
        <v>181</v>
      </c>
      <c r="I68" s="7" t="s">
        <v>239</v>
      </c>
    </row>
    <row r="69" spans="1:9" ht="19.95" customHeight="1" x14ac:dyDescent="0.3">
      <c r="A69" s="7" t="s">
        <v>80</v>
      </c>
      <c r="B69" s="7" t="s">
        <v>159</v>
      </c>
      <c r="C69" s="7" t="s">
        <v>170</v>
      </c>
      <c r="D69" s="7" t="s">
        <v>173</v>
      </c>
      <c r="E69" s="7">
        <v>85065</v>
      </c>
      <c r="F69" s="8">
        <v>42505</v>
      </c>
      <c r="G69" s="7">
        <v>3</v>
      </c>
      <c r="H69" s="7" t="s">
        <v>178</v>
      </c>
      <c r="I69" s="7" t="s">
        <v>241</v>
      </c>
    </row>
    <row r="70" spans="1:9" ht="19.95" customHeight="1" x14ac:dyDescent="0.3">
      <c r="A70" s="7" t="s">
        <v>90</v>
      </c>
      <c r="B70" s="7" t="s">
        <v>162</v>
      </c>
      <c r="C70" s="7" t="s">
        <v>168</v>
      </c>
      <c r="D70" s="7" t="s">
        <v>173</v>
      </c>
      <c r="E70" s="7">
        <v>95621</v>
      </c>
      <c r="F70" s="8">
        <v>42575</v>
      </c>
      <c r="G70" s="7">
        <v>3</v>
      </c>
      <c r="H70" s="7" t="s">
        <v>181</v>
      </c>
      <c r="I70" s="7" t="s">
        <v>246</v>
      </c>
    </row>
    <row r="71" spans="1:9" ht="19.95" customHeight="1" x14ac:dyDescent="0.3">
      <c r="A71" s="7" t="s">
        <v>97</v>
      </c>
      <c r="B71" s="7" t="s">
        <v>164</v>
      </c>
      <c r="C71" s="7" t="s">
        <v>169</v>
      </c>
      <c r="D71" s="7" t="s">
        <v>178</v>
      </c>
      <c r="E71" s="7">
        <v>63434</v>
      </c>
      <c r="F71" s="8">
        <v>42624</v>
      </c>
      <c r="G71" s="7">
        <v>3</v>
      </c>
      <c r="H71" s="7" t="s">
        <v>178</v>
      </c>
      <c r="I71" s="7" t="s">
        <v>251</v>
      </c>
    </row>
    <row r="72" spans="1:9" ht="19.95" customHeight="1" x14ac:dyDescent="0.3">
      <c r="A72" s="7" t="s">
        <v>98</v>
      </c>
      <c r="B72" s="7" t="s">
        <v>162</v>
      </c>
      <c r="C72" s="7" t="s">
        <v>178</v>
      </c>
      <c r="D72" s="7" t="s">
        <v>176</v>
      </c>
      <c r="E72" s="7">
        <v>38830</v>
      </c>
      <c r="F72" s="8">
        <v>42631</v>
      </c>
      <c r="G72" s="7">
        <v>3</v>
      </c>
      <c r="H72" s="7" t="s">
        <v>179</v>
      </c>
      <c r="I72" s="7" t="s">
        <v>203</v>
      </c>
    </row>
    <row r="73" spans="1:9" ht="19.95" customHeight="1" x14ac:dyDescent="0.3">
      <c r="A73" s="7" t="s">
        <v>99</v>
      </c>
      <c r="B73" s="7" t="s">
        <v>178</v>
      </c>
      <c r="C73" s="7" t="s">
        <v>170</v>
      </c>
      <c r="D73" s="7" t="s">
        <v>175</v>
      </c>
      <c r="E73" s="7">
        <v>50741</v>
      </c>
      <c r="F73" s="8">
        <v>42638</v>
      </c>
      <c r="G73" s="7">
        <v>3</v>
      </c>
      <c r="H73" s="7" t="s">
        <v>178</v>
      </c>
      <c r="I73" s="7" t="s">
        <v>240</v>
      </c>
    </row>
    <row r="74" spans="1:9" ht="19.95" customHeight="1" x14ac:dyDescent="0.3">
      <c r="A74" s="7" t="s">
        <v>105</v>
      </c>
      <c r="B74" s="7" t="s">
        <v>162</v>
      </c>
      <c r="C74" s="7" t="s">
        <v>166</v>
      </c>
      <c r="D74" s="7" t="s">
        <v>173</v>
      </c>
      <c r="E74" s="7">
        <v>72939</v>
      </c>
      <c r="F74" s="8">
        <v>42680</v>
      </c>
      <c r="G74" s="7">
        <v>3</v>
      </c>
      <c r="H74" s="7" t="s">
        <v>178</v>
      </c>
      <c r="I74" s="7" t="s">
        <v>255</v>
      </c>
    </row>
    <row r="75" spans="1:9" ht="19.95" customHeight="1" x14ac:dyDescent="0.3">
      <c r="A75" s="7" t="s">
        <v>114</v>
      </c>
      <c r="B75" s="7" t="s">
        <v>178</v>
      </c>
      <c r="C75" s="7" t="s">
        <v>167</v>
      </c>
      <c r="D75" s="7" t="s">
        <v>175</v>
      </c>
      <c r="E75" s="7">
        <v>87963</v>
      </c>
      <c r="F75" s="8">
        <v>42743</v>
      </c>
      <c r="G75" s="7">
        <v>3</v>
      </c>
      <c r="H75" s="7" t="s">
        <v>179</v>
      </c>
      <c r="I75" s="7" t="s">
        <v>178</v>
      </c>
    </row>
    <row r="76" spans="1:9" ht="19.95" customHeight="1" x14ac:dyDescent="0.3">
      <c r="A76" s="7" t="s">
        <v>127</v>
      </c>
      <c r="B76" s="7" t="s">
        <v>164</v>
      </c>
      <c r="C76" s="7" t="s">
        <v>168</v>
      </c>
      <c r="D76" s="7" t="s">
        <v>174</v>
      </c>
      <c r="E76" s="7">
        <v>95032</v>
      </c>
      <c r="F76" s="8">
        <v>42834</v>
      </c>
      <c r="G76" s="7">
        <v>3</v>
      </c>
      <c r="H76" s="7" t="s">
        <v>178</v>
      </c>
      <c r="I76" s="7" t="s">
        <v>267</v>
      </c>
    </row>
    <row r="77" spans="1:9" ht="19.95" customHeight="1" x14ac:dyDescent="0.3">
      <c r="A77" s="7" t="s">
        <v>131</v>
      </c>
      <c r="B77" s="7" t="s">
        <v>165</v>
      </c>
      <c r="C77" s="7" t="s">
        <v>168</v>
      </c>
      <c r="D77" s="7" t="s">
        <v>172</v>
      </c>
      <c r="E77" s="7">
        <v>52036</v>
      </c>
      <c r="F77" s="8">
        <v>42862</v>
      </c>
      <c r="G77" s="7">
        <v>3</v>
      </c>
      <c r="H77" s="7" t="s">
        <v>180</v>
      </c>
      <c r="I77" s="7" t="s">
        <v>270</v>
      </c>
    </row>
    <row r="78" spans="1:9" ht="19.95" customHeight="1" x14ac:dyDescent="0.3">
      <c r="A78" s="7" t="s">
        <v>135</v>
      </c>
      <c r="B78" s="7" t="s">
        <v>165</v>
      </c>
      <c r="C78" s="7" t="s">
        <v>178</v>
      </c>
      <c r="D78" s="7" t="s">
        <v>172</v>
      </c>
      <c r="E78" s="7">
        <v>71494</v>
      </c>
      <c r="F78" s="8">
        <v>42890</v>
      </c>
      <c r="G78" s="7">
        <v>3</v>
      </c>
      <c r="H78" s="7" t="s">
        <v>180</v>
      </c>
      <c r="I78" s="7" t="s">
        <v>273</v>
      </c>
    </row>
    <row r="79" spans="1:9" ht="19.95" customHeight="1" x14ac:dyDescent="0.3">
      <c r="A79" s="7" t="s">
        <v>139</v>
      </c>
      <c r="B79" s="7" t="s">
        <v>160</v>
      </c>
      <c r="C79" s="7" t="s">
        <v>168</v>
      </c>
      <c r="D79" s="7" t="s">
        <v>174</v>
      </c>
      <c r="E79" s="7">
        <v>48289</v>
      </c>
      <c r="F79" s="7" t="s">
        <v>178</v>
      </c>
      <c r="G79" s="7">
        <v>3</v>
      </c>
      <c r="H79" s="7" t="s">
        <v>180</v>
      </c>
      <c r="I79" s="7" t="s">
        <v>189</v>
      </c>
    </row>
    <row r="80" spans="1:9" ht="19.95" customHeight="1" x14ac:dyDescent="0.3">
      <c r="A80" s="7" t="s">
        <v>140</v>
      </c>
      <c r="B80" s="7" t="s">
        <v>163</v>
      </c>
      <c r="C80" s="7" t="s">
        <v>170</v>
      </c>
      <c r="D80" s="7" t="s">
        <v>172</v>
      </c>
      <c r="E80" s="7">
        <v>34402</v>
      </c>
      <c r="F80" s="8">
        <v>42925</v>
      </c>
      <c r="G80" s="7">
        <v>3</v>
      </c>
      <c r="H80" s="7" t="s">
        <v>179</v>
      </c>
      <c r="I80" s="7" t="s">
        <v>218</v>
      </c>
    </row>
    <row r="81" spans="1:9" ht="19.95" customHeight="1" x14ac:dyDescent="0.3">
      <c r="A81" s="7" t="s">
        <v>141</v>
      </c>
      <c r="B81" s="7" t="s">
        <v>159</v>
      </c>
      <c r="C81" s="7" t="s">
        <v>167</v>
      </c>
      <c r="D81" s="7" t="s">
        <v>173</v>
      </c>
      <c r="E81" s="7">
        <v>38678</v>
      </c>
      <c r="F81" s="8">
        <v>42932</v>
      </c>
      <c r="G81" s="7">
        <v>3</v>
      </c>
      <c r="H81" s="7" t="s">
        <v>179</v>
      </c>
      <c r="I81" s="7" t="s">
        <v>275</v>
      </c>
    </row>
    <row r="82" spans="1:9" ht="19.95" customHeight="1" x14ac:dyDescent="0.3">
      <c r="A82" s="7" t="s">
        <v>142</v>
      </c>
      <c r="B82" s="7" t="s">
        <v>164</v>
      </c>
      <c r="C82" s="7" t="s">
        <v>167</v>
      </c>
      <c r="D82" s="7" t="s">
        <v>172</v>
      </c>
      <c r="E82" s="7">
        <v>45758</v>
      </c>
      <c r="F82" s="8">
        <v>42939</v>
      </c>
      <c r="G82" s="7">
        <v>3</v>
      </c>
      <c r="H82" s="7" t="s">
        <v>178</v>
      </c>
      <c r="I82" s="7" t="s">
        <v>264</v>
      </c>
    </row>
    <row r="83" spans="1:9" ht="19.95" customHeight="1" x14ac:dyDescent="0.3">
      <c r="A83" s="7" t="s">
        <v>144</v>
      </c>
      <c r="B83" s="7" t="s">
        <v>178</v>
      </c>
      <c r="C83" s="7" t="s">
        <v>169</v>
      </c>
      <c r="D83" s="7" t="s">
        <v>175</v>
      </c>
      <c r="E83" s="7">
        <v>39280</v>
      </c>
      <c r="F83" s="8">
        <v>42953</v>
      </c>
      <c r="G83" s="7">
        <v>3</v>
      </c>
      <c r="H83" s="7" t="s">
        <v>181</v>
      </c>
      <c r="I83" s="7" t="s">
        <v>214</v>
      </c>
    </row>
    <row r="84" spans="1:9" ht="19.95" customHeight="1" x14ac:dyDescent="0.3">
      <c r="A84" s="7" t="s">
        <v>151</v>
      </c>
      <c r="B84" s="7" t="s">
        <v>160</v>
      </c>
      <c r="C84" s="7" t="s">
        <v>170</v>
      </c>
      <c r="D84" s="7" t="s">
        <v>178</v>
      </c>
      <c r="E84" s="7">
        <v>86775</v>
      </c>
      <c r="F84" s="8">
        <v>43002</v>
      </c>
      <c r="G84" s="7">
        <v>3</v>
      </c>
      <c r="H84" s="7" t="s">
        <v>179</v>
      </c>
      <c r="I84" s="7" t="s">
        <v>212</v>
      </c>
    </row>
    <row r="85" spans="1:9" ht="19.95" customHeight="1" x14ac:dyDescent="0.3">
      <c r="A85" s="7" t="s">
        <v>22</v>
      </c>
      <c r="B85" s="7" t="s">
        <v>163</v>
      </c>
      <c r="C85" s="7" t="s">
        <v>178</v>
      </c>
      <c r="D85" s="7" t="s">
        <v>174</v>
      </c>
      <c r="E85" s="7">
        <v>62158</v>
      </c>
      <c r="F85" s="8">
        <v>42099</v>
      </c>
      <c r="G85" s="7">
        <v>4</v>
      </c>
      <c r="H85" s="7" t="s">
        <v>178</v>
      </c>
      <c r="I85" s="7" t="s">
        <v>193</v>
      </c>
    </row>
    <row r="86" spans="1:9" ht="19.95" customHeight="1" x14ac:dyDescent="0.3">
      <c r="A86" s="7" t="s">
        <v>30</v>
      </c>
      <c r="B86" s="7" t="s">
        <v>162</v>
      </c>
      <c r="C86" s="7" t="s">
        <v>167</v>
      </c>
      <c r="D86" s="7" t="s">
        <v>178</v>
      </c>
      <c r="E86" s="7">
        <v>98922</v>
      </c>
      <c r="F86" s="8">
        <v>42155</v>
      </c>
      <c r="G86" s="7">
        <v>4</v>
      </c>
      <c r="H86" s="7" t="s">
        <v>178</v>
      </c>
      <c r="I86" s="7" t="s">
        <v>201</v>
      </c>
    </row>
    <row r="87" spans="1:9" ht="19.95" customHeight="1" x14ac:dyDescent="0.3">
      <c r="A87" s="7" t="s">
        <v>44</v>
      </c>
      <c r="B87" s="7" t="s">
        <v>160</v>
      </c>
      <c r="C87" s="7" t="s">
        <v>178</v>
      </c>
      <c r="D87" s="7" t="s">
        <v>175</v>
      </c>
      <c r="E87" s="7">
        <v>54463</v>
      </c>
      <c r="F87" s="8">
        <v>42253</v>
      </c>
      <c r="G87" s="7">
        <v>4</v>
      </c>
      <c r="H87" s="7" t="s">
        <v>180</v>
      </c>
      <c r="I87" s="7" t="s">
        <v>178</v>
      </c>
    </row>
    <row r="88" spans="1:9" ht="19.95" customHeight="1" x14ac:dyDescent="0.3">
      <c r="A88" s="7" t="s">
        <v>49</v>
      </c>
      <c r="B88" s="7" t="s">
        <v>165</v>
      </c>
      <c r="C88" s="7" t="s">
        <v>166</v>
      </c>
      <c r="D88" s="7" t="s">
        <v>175</v>
      </c>
      <c r="E88" s="7" t="s">
        <v>178</v>
      </c>
      <c r="F88" s="7" t="s">
        <v>178</v>
      </c>
      <c r="G88" s="7">
        <v>4</v>
      </c>
      <c r="H88" s="7" t="s">
        <v>181</v>
      </c>
      <c r="I88" s="7" t="s">
        <v>219</v>
      </c>
    </row>
    <row r="89" spans="1:9" ht="19.95" customHeight="1" x14ac:dyDescent="0.3">
      <c r="A89" s="7" t="s">
        <v>56</v>
      </c>
      <c r="B89" s="7" t="s">
        <v>164</v>
      </c>
      <c r="C89" s="7" t="s">
        <v>167</v>
      </c>
      <c r="D89" s="7" t="s">
        <v>174</v>
      </c>
      <c r="E89" s="7">
        <v>58245</v>
      </c>
      <c r="F89" s="8">
        <v>42337</v>
      </c>
      <c r="G89" s="7">
        <v>4</v>
      </c>
      <c r="H89" s="7" t="s">
        <v>178</v>
      </c>
      <c r="I89" s="7" t="s">
        <v>225</v>
      </c>
    </row>
    <row r="90" spans="1:9" ht="19.95" customHeight="1" x14ac:dyDescent="0.3">
      <c r="A90" s="7" t="s">
        <v>74</v>
      </c>
      <c r="B90" s="7" t="s">
        <v>163</v>
      </c>
      <c r="C90" s="7" t="s">
        <v>166</v>
      </c>
      <c r="D90" s="7" t="s">
        <v>174</v>
      </c>
      <c r="E90" s="7">
        <v>33468</v>
      </c>
      <c r="F90" s="8">
        <v>42463</v>
      </c>
      <c r="G90" s="7">
        <v>4</v>
      </c>
      <c r="H90" s="7" t="s">
        <v>180</v>
      </c>
      <c r="I90" s="7" t="s">
        <v>237</v>
      </c>
    </row>
    <row r="91" spans="1:9" ht="19.95" customHeight="1" x14ac:dyDescent="0.3">
      <c r="A91" s="7" t="s">
        <v>82</v>
      </c>
      <c r="B91" s="7" t="s">
        <v>161</v>
      </c>
      <c r="C91" s="7" t="s">
        <v>168</v>
      </c>
      <c r="D91" s="7" t="s">
        <v>174</v>
      </c>
      <c r="E91" s="7">
        <v>91101</v>
      </c>
      <c r="F91" s="8">
        <v>42519</v>
      </c>
      <c r="G91" s="7">
        <v>4</v>
      </c>
      <c r="H91" s="7" t="s">
        <v>181</v>
      </c>
      <c r="I91" s="7" t="s">
        <v>234</v>
      </c>
    </row>
    <row r="92" spans="1:9" ht="19.95" customHeight="1" x14ac:dyDescent="0.3">
      <c r="A92" s="7" t="s">
        <v>93</v>
      </c>
      <c r="B92" s="7" t="s">
        <v>161</v>
      </c>
      <c r="C92" s="7" t="s">
        <v>170</v>
      </c>
      <c r="D92" s="7" t="s">
        <v>174</v>
      </c>
      <c r="E92" s="7">
        <v>44682</v>
      </c>
      <c r="F92" s="8">
        <v>42596</v>
      </c>
      <c r="G92" s="7">
        <v>4</v>
      </c>
      <c r="H92" s="7" t="s">
        <v>181</v>
      </c>
      <c r="I92" s="7" t="s">
        <v>220</v>
      </c>
    </row>
    <row r="93" spans="1:9" ht="19.95" customHeight="1" x14ac:dyDescent="0.3">
      <c r="A93" s="7" t="s">
        <v>95</v>
      </c>
      <c r="B93" s="7" t="s">
        <v>164</v>
      </c>
      <c r="C93" s="7" t="s">
        <v>169</v>
      </c>
      <c r="D93" s="7" t="s">
        <v>174</v>
      </c>
      <c r="E93" s="7">
        <v>33483</v>
      </c>
      <c r="F93" s="8">
        <v>42610</v>
      </c>
      <c r="G93" s="7">
        <v>4</v>
      </c>
      <c r="H93" s="7" t="s">
        <v>180</v>
      </c>
      <c r="I93" s="7" t="s">
        <v>250</v>
      </c>
    </row>
    <row r="94" spans="1:9" ht="19.95" customHeight="1" x14ac:dyDescent="0.3">
      <c r="A94" s="7" t="s">
        <v>96</v>
      </c>
      <c r="B94" s="7" t="s">
        <v>163</v>
      </c>
      <c r="C94" s="7" t="s">
        <v>167</v>
      </c>
      <c r="D94" s="7" t="s">
        <v>172</v>
      </c>
      <c r="E94" s="7">
        <v>55303</v>
      </c>
      <c r="F94" s="8">
        <v>42617</v>
      </c>
      <c r="G94" s="7">
        <v>4</v>
      </c>
      <c r="H94" s="7" t="s">
        <v>180</v>
      </c>
      <c r="I94" s="7" t="s">
        <v>203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108</v>
      </c>
      <c r="B96" s="7" t="s">
        <v>159</v>
      </c>
      <c r="C96" s="7" t="s">
        <v>170</v>
      </c>
      <c r="D96" s="7" t="s">
        <v>173</v>
      </c>
      <c r="E96" s="7">
        <v>70096</v>
      </c>
      <c r="F96" s="8">
        <v>42701</v>
      </c>
      <c r="G96" s="7">
        <v>4</v>
      </c>
      <c r="H96" s="7" t="s">
        <v>180</v>
      </c>
      <c r="I96" s="7" t="s">
        <v>258</v>
      </c>
    </row>
    <row r="97" spans="1:9" ht="19.95" customHeight="1" x14ac:dyDescent="0.3">
      <c r="A97" s="7" t="s">
        <v>123</v>
      </c>
      <c r="B97" s="7" t="s">
        <v>159</v>
      </c>
      <c r="C97" s="7" t="s">
        <v>170</v>
      </c>
      <c r="D97" s="7" t="s">
        <v>175</v>
      </c>
      <c r="E97" s="7">
        <v>44627</v>
      </c>
      <c r="F97" s="8">
        <v>42806</v>
      </c>
      <c r="G97" s="7">
        <v>4</v>
      </c>
      <c r="H97" s="7" t="s">
        <v>178</v>
      </c>
      <c r="I97" s="7" t="s">
        <v>235</v>
      </c>
    </row>
    <row r="98" spans="1:9" ht="19.95" customHeight="1" x14ac:dyDescent="0.3">
      <c r="A98" s="7" t="s">
        <v>124</v>
      </c>
      <c r="B98" s="7" t="s">
        <v>165</v>
      </c>
      <c r="C98" s="7" t="s">
        <v>167</v>
      </c>
      <c r="D98" s="7" t="s">
        <v>172</v>
      </c>
      <c r="E98" s="7">
        <v>92343</v>
      </c>
      <c r="F98" s="8">
        <v>42813</v>
      </c>
      <c r="G98" s="7">
        <v>4</v>
      </c>
      <c r="H98" s="7" t="s">
        <v>181</v>
      </c>
      <c r="I98" s="7" t="s">
        <v>203</v>
      </c>
    </row>
    <row r="99" spans="1:9" ht="19.95" customHeight="1" x14ac:dyDescent="0.3">
      <c r="A99" s="7" t="s">
        <v>145</v>
      </c>
      <c r="B99" s="7" t="s">
        <v>162</v>
      </c>
      <c r="C99" s="7" t="s">
        <v>166</v>
      </c>
      <c r="D99" s="7" t="s">
        <v>174</v>
      </c>
      <c r="E99" s="7">
        <v>60335</v>
      </c>
      <c r="F99" s="8">
        <v>42960</v>
      </c>
      <c r="G99" s="7">
        <v>4</v>
      </c>
      <c r="H99" s="7" t="s">
        <v>179</v>
      </c>
      <c r="I99" s="7" t="s">
        <v>227</v>
      </c>
    </row>
    <row r="100" spans="1:9" ht="19.95" customHeight="1" x14ac:dyDescent="0.3">
      <c r="A100" s="7" t="s">
        <v>147</v>
      </c>
      <c r="B100" s="7" t="s">
        <v>164</v>
      </c>
      <c r="C100" s="7" t="s">
        <v>170</v>
      </c>
      <c r="D100" s="7" t="s">
        <v>176</v>
      </c>
      <c r="E100" s="7">
        <v>84750</v>
      </c>
      <c r="F100" s="8">
        <v>42974</v>
      </c>
      <c r="G100" s="7">
        <v>4</v>
      </c>
      <c r="H100" s="7" t="s">
        <v>181</v>
      </c>
      <c r="I100" s="7" t="s">
        <v>195</v>
      </c>
    </row>
    <row r="101" spans="1:9" ht="19.95" customHeight="1" x14ac:dyDescent="0.3">
      <c r="A101" s="7" t="s">
        <v>149</v>
      </c>
      <c r="B101" s="7" t="s">
        <v>164</v>
      </c>
      <c r="C101" s="7" t="s">
        <v>168</v>
      </c>
      <c r="D101" s="7" t="s">
        <v>173</v>
      </c>
      <c r="E101" s="7" t="s">
        <v>178</v>
      </c>
      <c r="F101" s="8">
        <v>42988</v>
      </c>
      <c r="G101" s="7">
        <v>4</v>
      </c>
      <c r="H101" s="7" t="s">
        <v>179</v>
      </c>
      <c r="I101" s="7" t="s">
        <v>178</v>
      </c>
    </row>
    <row r="102" spans="1:9" ht="19.95" customHeight="1" x14ac:dyDescent="0.3">
      <c r="A102" s="7" t="s">
        <v>20</v>
      </c>
      <c r="B102" s="7" t="s">
        <v>163</v>
      </c>
      <c r="C102" s="7" t="s">
        <v>169</v>
      </c>
      <c r="D102" s="7" t="s">
        <v>173</v>
      </c>
      <c r="E102" s="7">
        <v>91180</v>
      </c>
      <c r="F102" s="8">
        <v>42085</v>
      </c>
      <c r="G102" s="7">
        <v>5</v>
      </c>
      <c r="H102" s="7" t="s">
        <v>180</v>
      </c>
      <c r="I102" s="7" t="s">
        <v>192</v>
      </c>
    </row>
    <row r="103" spans="1:9" ht="19.95" customHeight="1" x14ac:dyDescent="0.3">
      <c r="A103" s="7" t="s">
        <v>21</v>
      </c>
      <c r="B103" s="7" t="s">
        <v>165</v>
      </c>
      <c r="C103" s="7" t="s">
        <v>168</v>
      </c>
      <c r="D103" s="7" t="s">
        <v>178</v>
      </c>
      <c r="E103" s="7">
        <v>96418</v>
      </c>
      <c r="F103" s="8">
        <v>42092</v>
      </c>
      <c r="G103" s="7">
        <v>5</v>
      </c>
      <c r="H103" s="7" t="s">
        <v>180</v>
      </c>
      <c r="I103" s="7" t="s">
        <v>183</v>
      </c>
    </row>
    <row r="104" spans="1:9" ht="19.95" customHeight="1" x14ac:dyDescent="0.3">
      <c r="A104" s="7" t="s">
        <v>28</v>
      </c>
      <c r="B104" s="7" t="s">
        <v>159</v>
      </c>
      <c r="C104" s="7" t="s">
        <v>178</v>
      </c>
      <c r="D104" s="7" t="s">
        <v>174</v>
      </c>
      <c r="E104" s="7">
        <v>67531</v>
      </c>
      <c r="F104" s="8">
        <v>42141</v>
      </c>
      <c r="G104" s="7">
        <v>5</v>
      </c>
      <c r="H104" s="7" t="s">
        <v>181</v>
      </c>
      <c r="I104" s="7" t="s">
        <v>199</v>
      </c>
    </row>
    <row r="105" spans="1:9" ht="19.95" customHeight="1" x14ac:dyDescent="0.3">
      <c r="A105" s="7" t="s">
        <v>31</v>
      </c>
      <c r="B105" s="7" t="s">
        <v>159</v>
      </c>
      <c r="C105" s="7" t="s">
        <v>166</v>
      </c>
      <c r="D105" s="7" t="s">
        <v>174</v>
      </c>
      <c r="E105" s="7">
        <v>38333</v>
      </c>
      <c r="F105" s="8">
        <v>42162</v>
      </c>
      <c r="G105" s="7">
        <v>5</v>
      </c>
      <c r="H105" s="7" t="s">
        <v>178</v>
      </c>
      <c r="I105" s="7" t="s">
        <v>202</v>
      </c>
    </row>
    <row r="106" spans="1:9" ht="19.95" customHeight="1" x14ac:dyDescent="0.3">
      <c r="A106" s="7" t="s">
        <v>38</v>
      </c>
      <c r="B106" s="7" t="s">
        <v>165</v>
      </c>
      <c r="C106" s="7" t="s">
        <v>170</v>
      </c>
      <c r="D106" s="7" t="s">
        <v>175</v>
      </c>
      <c r="E106" s="7">
        <v>92959</v>
      </c>
      <c r="F106" s="8">
        <v>42211</v>
      </c>
      <c r="G106" s="7">
        <v>5</v>
      </c>
      <c r="H106" s="7" t="s">
        <v>178</v>
      </c>
      <c r="I106" s="7" t="s">
        <v>209</v>
      </c>
    </row>
    <row r="107" spans="1:9" ht="19.95" customHeight="1" x14ac:dyDescent="0.3">
      <c r="A107" s="7" t="s">
        <v>47</v>
      </c>
      <c r="B107" s="7" t="s">
        <v>161</v>
      </c>
      <c r="C107" s="7" t="s">
        <v>170</v>
      </c>
      <c r="D107" s="7" t="s">
        <v>175</v>
      </c>
      <c r="E107" s="7">
        <v>52093</v>
      </c>
      <c r="F107" s="8">
        <v>42274</v>
      </c>
      <c r="G107" s="7">
        <v>5</v>
      </c>
      <c r="H107" s="7" t="s">
        <v>178</v>
      </c>
      <c r="I107" s="7" t="s">
        <v>217</v>
      </c>
    </row>
    <row r="108" spans="1:9" ht="19.95" customHeight="1" x14ac:dyDescent="0.3">
      <c r="A108" s="7" t="s">
        <v>58</v>
      </c>
      <c r="B108" s="7" t="s">
        <v>159</v>
      </c>
      <c r="C108" s="7" t="s">
        <v>167</v>
      </c>
      <c r="D108" s="7" t="s">
        <v>172</v>
      </c>
      <c r="E108" s="7">
        <v>78720</v>
      </c>
      <c r="F108" s="8">
        <v>42351</v>
      </c>
      <c r="G108" s="7">
        <v>5</v>
      </c>
      <c r="H108" s="7" t="s">
        <v>181</v>
      </c>
      <c r="I108" s="7" t="s">
        <v>219</v>
      </c>
    </row>
    <row r="109" spans="1:9" ht="19.95" customHeight="1" x14ac:dyDescent="0.3">
      <c r="A109" s="7" t="s">
        <v>60</v>
      </c>
      <c r="B109" s="7" t="s">
        <v>163</v>
      </c>
      <c r="C109" s="7" t="s">
        <v>168</v>
      </c>
      <c r="D109" s="7" t="s">
        <v>174</v>
      </c>
      <c r="E109" s="7">
        <v>39423</v>
      </c>
      <c r="F109" s="8">
        <v>42365</v>
      </c>
      <c r="G109" s="7">
        <v>5</v>
      </c>
      <c r="H109" s="7" t="s">
        <v>178</v>
      </c>
      <c r="I109" s="7" t="s">
        <v>227</v>
      </c>
    </row>
    <row r="110" spans="1:9" ht="19.95" customHeight="1" x14ac:dyDescent="0.3">
      <c r="A110" s="7" t="s">
        <v>63</v>
      </c>
      <c r="B110" s="7" t="s">
        <v>165</v>
      </c>
      <c r="C110" s="7" t="s">
        <v>170</v>
      </c>
      <c r="D110" s="7" t="s">
        <v>175</v>
      </c>
      <c r="E110" s="7">
        <v>75633</v>
      </c>
      <c r="F110" s="8">
        <v>42386</v>
      </c>
      <c r="G110" s="7">
        <v>5</v>
      </c>
      <c r="H110" s="7" t="s">
        <v>179</v>
      </c>
      <c r="I110" s="7" t="s">
        <v>229</v>
      </c>
    </row>
    <row r="111" spans="1:9" ht="19.95" customHeight="1" x14ac:dyDescent="0.3">
      <c r="A111" s="7" t="s">
        <v>64</v>
      </c>
      <c r="B111" s="7" t="s">
        <v>164</v>
      </c>
      <c r="C111" s="7" t="s">
        <v>178</v>
      </c>
      <c r="D111" s="7" t="s">
        <v>173</v>
      </c>
      <c r="E111" s="7">
        <v>74815</v>
      </c>
      <c r="F111" s="8">
        <v>42393</v>
      </c>
      <c r="G111" s="7">
        <v>5</v>
      </c>
      <c r="H111" s="7" t="s">
        <v>181</v>
      </c>
      <c r="I111" s="7" t="s">
        <v>230</v>
      </c>
    </row>
    <row r="112" spans="1:9" ht="19.95" customHeight="1" x14ac:dyDescent="0.3">
      <c r="A112" s="7" t="s">
        <v>67</v>
      </c>
      <c r="B112" s="7" t="s">
        <v>163</v>
      </c>
      <c r="C112" s="7" t="s">
        <v>170</v>
      </c>
      <c r="D112" s="7" t="s">
        <v>178</v>
      </c>
      <c r="E112" s="7">
        <v>84924</v>
      </c>
      <c r="F112" s="8">
        <v>42414</v>
      </c>
      <c r="G112" s="7">
        <v>5</v>
      </c>
      <c r="H112" s="7" t="s">
        <v>180</v>
      </c>
      <c r="I112" s="7" t="s">
        <v>232</v>
      </c>
    </row>
    <row r="113" spans="1:9" ht="19.95" customHeight="1" x14ac:dyDescent="0.3">
      <c r="A113" s="7" t="s">
        <v>69</v>
      </c>
      <c r="B113" s="7" t="s">
        <v>178</v>
      </c>
      <c r="C113" s="7" t="s">
        <v>170</v>
      </c>
      <c r="D113" s="7" t="s">
        <v>172</v>
      </c>
      <c r="E113" s="7" t="s">
        <v>178</v>
      </c>
      <c r="F113" s="7" t="s">
        <v>178</v>
      </c>
      <c r="G113" s="7">
        <v>5</v>
      </c>
      <c r="H113" s="7" t="s">
        <v>178</v>
      </c>
      <c r="I113" s="7" t="s">
        <v>233</v>
      </c>
    </row>
    <row r="114" spans="1:9" ht="19.95" customHeight="1" x14ac:dyDescent="0.3">
      <c r="A114" s="7" t="s">
        <v>71</v>
      </c>
      <c r="B114" s="7" t="s">
        <v>164</v>
      </c>
      <c r="C114" s="7" t="s">
        <v>169</v>
      </c>
      <c r="D114" s="7" t="s">
        <v>175</v>
      </c>
      <c r="E114" s="7">
        <v>97981</v>
      </c>
      <c r="F114" s="8">
        <v>42442</v>
      </c>
      <c r="G114" s="7">
        <v>5</v>
      </c>
      <c r="H114" s="7" t="s">
        <v>181</v>
      </c>
      <c r="I114" s="7" t="s">
        <v>234</v>
      </c>
    </row>
    <row r="115" spans="1:9" ht="19.95" customHeight="1" x14ac:dyDescent="0.3">
      <c r="A115" s="7" t="s">
        <v>79</v>
      </c>
      <c r="B115" s="7" t="s">
        <v>159</v>
      </c>
      <c r="C115" s="7" t="s">
        <v>168</v>
      </c>
      <c r="D115" s="7" t="s">
        <v>176</v>
      </c>
      <c r="E115" s="7">
        <v>69952</v>
      </c>
      <c r="F115" s="8">
        <v>42498</v>
      </c>
      <c r="G115" s="7">
        <v>5</v>
      </c>
      <c r="H115" s="7" t="s">
        <v>181</v>
      </c>
      <c r="I115" s="7" t="s">
        <v>178</v>
      </c>
    </row>
    <row r="116" spans="1:9" ht="19.95" customHeight="1" x14ac:dyDescent="0.3">
      <c r="A116" s="7" t="s">
        <v>94</v>
      </c>
      <c r="B116" s="7" t="s">
        <v>164</v>
      </c>
      <c r="C116" s="7" t="s">
        <v>166</v>
      </c>
      <c r="D116" s="7" t="s">
        <v>178</v>
      </c>
      <c r="E116" s="7">
        <v>35163</v>
      </c>
      <c r="F116" s="8">
        <v>42603</v>
      </c>
      <c r="G116" s="7">
        <v>5</v>
      </c>
      <c r="H116" s="7" t="s">
        <v>179</v>
      </c>
      <c r="I116" s="7" t="s">
        <v>249</v>
      </c>
    </row>
    <row r="117" spans="1:9" ht="19.95" customHeight="1" x14ac:dyDescent="0.3">
      <c r="A117" s="7" t="s">
        <v>101</v>
      </c>
      <c r="B117" s="7" t="s">
        <v>162</v>
      </c>
      <c r="C117" s="7" t="s">
        <v>169</v>
      </c>
      <c r="D117" s="7" t="s">
        <v>178</v>
      </c>
      <c r="E117" s="7">
        <v>80588</v>
      </c>
      <c r="F117" s="8">
        <v>42652</v>
      </c>
      <c r="G117" s="7">
        <v>5</v>
      </c>
      <c r="H117" s="7" t="s">
        <v>180</v>
      </c>
      <c r="I117" s="7" t="s">
        <v>216</v>
      </c>
    </row>
    <row r="118" spans="1:9" ht="19.95" customHeight="1" x14ac:dyDescent="0.3">
      <c r="A118" s="7" t="s">
        <v>112</v>
      </c>
      <c r="B118" s="7" t="s">
        <v>160</v>
      </c>
      <c r="C118" s="7" t="s">
        <v>170</v>
      </c>
      <c r="D118" s="7" t="s">
        <v>178</v>
      </c>
      <c r="E118" s="7">
        <v>79145</v>
      </c>
      <c r="F118" s="8">
        <v>42729</v>
      </c>
      <c r="G118" s="7">
        <v>5</v>
      </c>
      <c r="H118" s="7" t="s">
        <v>179</v>
      </c>
      <c r="I118" s="7" t="s">
        <v>223</v>
      </c>
    </row>
    <row r="119" spans="1:9" ht="19.95" customHeight="1" x14ac:dyDescent="0.3">
      <c r="A119" s="7" t="s">
        <v>120</v>
      </c>
      <c r="B119" s="7" t="s">
        <v>164</v>
      </c>
      <c r="C119" s="7" t="s">
        <v>169</v>
      </c>
      <c r="D119" s="7" t="s">
        <v>173</v>
      </c>
      <c r="E119" s="7">
        <v>34306</v>
      </c>
      <c r="F119" s="8">
        <v>42785</v>
      </c>
      <c r="G119" s="7">
        <v>5</v>
      </c>
      <c r="H119" s="7" t="s">
        <v>181</v>
      </c>
      <c r="I119" s="7" t="s">
        <v>239</v>
      </c>
    </row>
    <row r="120" spans="1:9" ht="19.95" customHeight="1" x14ac:dyDescent="0.3">
      <c r="A120" s="7" t="s">
        <v>125</v>
      </c>
      <c r="B120" s="7" t="s">
        <v>165</v>
      </c>
      <c r="C120" s="7" t="s">
        <v>170</v>
      </c>
      <c r="D120" s="7" t="s">
        <v>176</v>
      </c>
      <c r="E120" s="7">
        <v>38837</v>
      </c>
      <c r="F120" s="8">
        <v>42820</v>
      </c>
      <c r="G120" s="7">
        <v>5</v>
      </c>
      <c r="H120" s="7" t="s">
        <v>181</v>
      </c>
      <c r="I120" s="7" t="s">
        <v>239</v>
      </c>
    </row>
    <row r="121" spans="1:9" ht="19.95" customHeight="1" x14ac:dyDescent="0.3">
      <c r="A121" s="7" t="s">
        <v>129</v>
      </c>
      <c r="B121" s="7" t="s">
        <v>178</v>
      </c>
      <c r="C121" s="7" t="s">
        <v>169</v>
      </c>
      <c r="D121" s="7" t="s">
        <v>173</v>
      </c>
      <c r="E121" s="7" t="s">
        <v>178</v>
      </c>
      <c r="F121" s="7" t="s">
        <v>178</v>
      </c>
      <c r="G121" s="7">
        <v>5</v>
      </c>
      <c r="H121" s="7" t="s">
        <v>178</v>
      </c>
      <c r="I121" s="7" t="s">
        <v>268</v>
      </c>
    </row>
    <row r="122" spans="1:9" ht="19.95" customHeight="1" x14ac:dyDescent="0.3">
      <c r="A122" s="7" t="s">
        <v>132</v>
      </c>
      <c r="B122" s="7" t="s">
        <v>162</v>
      </c>
      <c r="C122" s="7" t="s">
        <v>178</v>
      </c>
      <c r="D122" s="7" t="s">
        <v>172</v>
      </c>
      <c r="E122" s="7">
        <v>30357</v>
      </c>
      <c r="F122" s="8">
        <v>42869</v>
      </c>
      <c r="G122" s="7">
        <v>5</v>
      </c>
      <c r="H122" s="7" t="s">
        <v>180</v>
      </c>
      <c r="I122" s="7" t="s">
        <v>248</v>
      </c>
    </row>
    <row r="123" spans="1:9" ht="19.95" customHeight="1" x14ac:dyDescent="0.3">
      <c r="A123" s="7" t="s">
        <v>134</v>
      </c>
      <c r="B123" s="7" t="s">
        <v>161</v>
      </c>
      <c r="C123" s="7" t="s">
        <v>166</v>
      </c>
      <c r="D123" s="7" t="s">
        <v>178</v>
      </c>
      <c r="E123" s="7">
        <v>90019</v>
      </c>
      <c r="F123" s="8">
        <v>42883</v>
      </c>
      <c r="G123" s="7">
        <v>5</v>
      </c>
      <c r="H123" s="7" t="s">
        <v>178</v>
      </c>
      <c r="I123" s="7" t="s">
        <v>272</v>
      </c>
    </row>
    <row r="124" spans="1:9" ht="19.95" customHeight="1" x14ac:dyDescent="0.3">
      <c r="A124" s="7" t="s">
        <v>150</v>
      </c>
      <c r="B124" s="7" t="s">
        <v>162</v>
      </c>
      <c r="C124" s="7" t="s">
        <v>170</v>
      </c>
      <c r="D124" s="7" t="s">
        <v>173</v>
      </c>
      <c r="E124" s="7">
        <v>66882</v>
      </c>
      <c r="F124" s="8">
        <v>42995</v>
      </c>
      <c r="G124" s="7">
        <v>5</v>
      </c>
      <c r="H124" s="7" t="s">
        <v>179</v>
      </c>
      <c r="I124" s="7" t="s">
        <v>207</v>
      </c>
    </row>
    <row r="125" spans="1:9" ht="19.95" customHeight="1" x14ac:dyDescent="0.3">
      <c r="A125" s="7" t="s">
        <v>154</v>
      </c>
      <c r="B125" s="7" t="s">
        <v>163</v>
      </c>
      <c r="C125" s="7" t="s">
        <v>168</v>
      </c>
      <c r="D125" s="7" t="s">
        <v>176</v>
      </c>
      <c r="E125" s="7">
        <v>35627</v>
      </c>
      <c r="F125" s="8">
        <v>43023</v>
      </c>
      <c r="G125" s="7">
        <v>5</v>
      </c>
      <c r="H125" s="7" t="s">
        <v>181</v>
      </c>
      <c r="I125" s="7" t="s">
        <v>275</v>
      </c>
    </row>
    <row r="126" spans="1:9" ht="19.95" customHeight="1" x14ac:dyDescent="0.3">
      <c r="A126" s="7" t="s">
        <v>158</v>
      </c>
      <c r="B126" s="7" t="s">
        <v>163</v>
      </c>
      <c r="C126" s="7" t="s">
        <v>170</v>
      </c>
      <c r="D126" s="7" t="s">
        <v>174</v>
      </c>
      <c r="E126" s="7">
        <v>98475</v>
      </c>
      <c r="F126" s="8">
        <v>43051</v>
      </c>
      <c r="G126" s="7">
        <v>5</v>
      </c>
      <c r="H126" s="7" t="s">
        <v>179</v>
      </c>
      <c r="I126" s="7" t="s">
        <v>280</v>
      </c>
    </row>
    <row r="127" spans="1:9" ht="19.95" hidden="1" customHeight="1" x14ac:dyDescent="0.3">
      <c r="A127" s="7" t="s">
        <v>15</v>
      </c>
      <c r="B127" s="7" t="s">
        <v>163</v>
      </c>
      <c r="C127" s="7" t="s">
        <v>168</v>
      </c>
      <c r="D127" s="7" t="s">
        <v>178</v>
      </c>
      <c r="E127" s="7">
        <v>67721</v>
      </c>
      <c r="F127" s="8">
        <v>42050</v>
      </c>
      <c r="G127" s="7" t="s">
        <v>178</v>
      </c>
      <c r="H127" s="7" t="s">
        <v>180</v>
      </c>
      <c r="I127" s="7" t="s">
        <v>185</v>
      </c>
    </row>
    <row r="128" spans="1:9" ht="19.95" hidden="1" customHeight="1" x14ac:dyDescent="0.3">
      <c r="A128" s="7" t="s">
        <v>17</v>
      </c>
      <c r="B128" s="7" t="s">
        <v>160</v>
      </c>
      <c r="C128" s="7" t="s">
        <v>169</v>
      </c>
      <c r="D128" s="7" t="s">
        <v>172</v>
      </c>
      <c r="E128" s="7">
        <v>97881</v>
      </c>
      <c r="F128" s="8">
        <v>42064</v>
      </c>
      <c r="G128" s="7" t="s">
        <v>178</v>
      </c>
      <c r="H128" s="7" t="s">
        <v>181</v>
      </c>
      <c r="I128" s="7" t="s">
        <v>189</v>
      </c>
    </row>
    <row r="129" spans="1:9" ht="19.95" hidden="1" customHeight="1" x14ac:dyDescent="0.3">
      <c r="A129" s="7" t="s">
        <v>18</v>
      </c>
      <c r="B129" s="7" t="s">
        <v>164</v>
      </c>
      <c r="C129" s="7" t="s">
        <v>167</v>
      </c>
      <c r="D129" s="7" t="s">
        <v>175</v>
      </c>
      <c r="E129" s="7">
        <v>91846</v>
      </c>
      <c r="F129" s="8">
        <v>42071</v>
      </c>
      <c r="G129" s="7" t="s">
        <v>178</v>
      </c>
      <c r="H129" s="7" t="s">
        <v>180</v>
      </c>
      <c r="I129" s="7" t="s">
        <v>190</v>
      </c>
    </row>
    <row r="130" spans="1:9" ht="19.95" hidden="1" customHeight="1" x14ac:dyDescent="0.3">
      <c r="A130" s="7" t="s">
        <v>25</v>
      </c>
      <c r="B130" s="7" t="s">
        <v>165</v>
      </c>
      <c r="C130" s="7" t="s">
        <v>178</v>
      </c>
      <c r="D130" s="7" t="s">
        <v>172</v>
      </c>
      <c r="E130" s="7">
        <v>90271</v>
      </c>
      <c r="F130" s="8">
        <v>42120</v>
      </c>
      <c r="G130" s="7" t="s">
        <v>178</v>
      </c>
      <c r="H130" s="7" t="s">
        <v>178</v>
      </c>
      <c r="I130" s="7" t="s">
        <v>196</v>
      </c>
    </row>
    <row r="131" spans="1:9" ht="19.95" hidden="1" customHeight="1" x14ac:dyDescent="0.3">
      <c r="A131" s="7" t="s">
        <v>27</v>
      </c>
      <c r="B131" s="7" t="s">
        <v>160</v>
      </c>
      <c r="C131" s="7" t="s">
        <v>166</v>
      </c>
      <c r="D131" s="7" t="s">
        <v>175</v>
      </c>
      <c r="E131" s="7">
        <v>73602</v>
      </c>
      <c r="F131" s="8">
        <v>42134</v>
      </c>
      <c r="G131" s="7" t="s">
        <v>178</v>
      </c>
      <c r="H131" s="7" t="s">
        <v>178</v>
      </c>
      <c r="I131" s="7" t="s">
        <v>198</v>
      </c>
    </row>
    <row r="132" spans="1:9" ht="19.95" hidden="1" customHeight="1" x14ac:dyDescent="0.3">
      <c r="A132" s="7" t="s">
        <v>42</v>
      </c>
      <c r="B132" s="7" t="s">
        <v>164</v>
      </c>
      <c r="C132" s="7" t="s">
        <v>178</v>
      </c>
      <c r="D132" s="7" t="s">
        <v>173</v>
      </c>
      <c r="E132" s="7">
        <v>95367</v>
      </c>
      <c r="F132" s="8">
        <v>42239</v>
      </c>
      <c r="G132" s="7" t="s">
        <v>178</v>
      </c>
      <c r="H132" s="7" t="s">
        <v>180</v>
      </c>
      <c r="I132" s="7" t="s">
        <v>213</v>
      </c>
    </row>
    <row r="133" spans="1:9" ht="19.95" hidden="1" customHeight="1" x14ac:dyDescent="0.3">
      <c r="A133" s="7" t="s">
        <v>45</v>
      </c>
      <c r="B133" s="7" t="s">
        <v>160</v>
      </c>
      <c r="C133" s="7" t="s">
        <v>169</v>
      </c>
      <c r="D133" s="7" t="s">
        <v>173</v>
      </c>
      <c r="E133" s="7">
        <v>89781</v>
      </c>
      <c r="F133" s="8">
        <v>42260</v>
      </c>
      <c r="G133" s="7" t="s">
        <v>178</v>
      </c>
      <c r="H133" s="7" t="s">
        <v>181</v>
      </c>
      <c r="I133" s="7" t="s">
        <v>215</v>
      </c>
    </row>
    <row r="134" spans="1:9" ht="19.95" hidden="1" customHeight="1" x14ac:dyDescent="0.3">
      <c r="A134" s="7" t="s">
        <v>46</v>
      </c>
      <c r="B134" s="7" t="s">
        <v>160</v>
      </c>
      <c r="C134" s="7" t="s">
        <v>167</v>
      </c>
      <c r="D134" s="7" t="s">
        <v>178</v>
      </c>
      <c r="E134" s="7">
        <v>64796</v>
      </c>
      <c r="F134" s="8">
        <v>42267</v>
      </c>
      <c r="G134" s="7" t="s">
        <v>178</v>
      </c>
      <c r="H134" s="7" t="s">
        <v>179</v>
      </c>
      <c r="I134" s="7" t="s">
        <v>216</v>
      </c>
    </row>
    <row r="135" spans="1:9" ht="19.95" hidden="1" customHeight="1" x14ac:dyDescent="0.3">
      <c r="A135" s="7" t="s">
        <v>50</v>
      </c>
      <c r="B135" s="7" t="s">
        <v>160</v>
      </c>
      <c r="C135" s="7" t="s">
        <v>169</v>
      </c>
      <c r="D135" s="7" t="s">
        <v>172</v>
      </c>
      <c r="E135" s="7">
        <v>33956</v>
      </c>
      <c r="F135" s="8">
        <v>42295</v>
      </c>
      <c r="G135" s="7" t="s">
        <v>178</v>
      </c>
      <c r="H135" s="7" t="s">
        <v>178</v>
      </c>
      <c r="I135" s="7" t="s">
        <v>220</v>
      </c>
    </row>
    <row r="136" spans="1:9" ht="19.95" hidden="1" customHeight="1" x14ac:dyDescent="0.3">
      <c r="A136" s="7" t="s">
        <v>52</v>
      </c>
      <c r="B136" s="7" t="s">
        <v>160</v>
      </c>
      <c r="C136" s="7" t="s">
        <v>170</v>
      </c>
      <c r="D136" s="7" t="s">
        <v>176</v>
      </c>
      <c r="E136" s="7">
        <v>35326</v>
      </c>
      <c r="F136" s="8">
        <v>42309</v>
      </c>
      <c r="G136" s="7" t="s">
        <v>178</v>
      </c>
      <c r="H136" s="7" t="s">
        <v>181</v>
      </c>
      <c r="I136" s="7" t="s">
        <v>222</v>
      </c>
    </row>
    <row r="137" spans="1:9" ht="19.95" hidden="1" customHeight="1" x14ac:dyDescent="0.3">
      <c r="A137" s="7" t="s">
        <v>81</v>
      </c>
      <c r="B137" s="7" t="s">
        <v>165</v>
      </c>
      <c r="C137" s="7" t="s">
        <v>170</v>
      </c>
      <c r="D137" s="7" t="s">
        <v>174</v>
      </c>
      <c r="E137" s="7">
        <v>56512</v>
      </c>
      <c r="F137" s="8">
        <v>42512</v>
      </c>
      <c r="G137" s="7" t="s">
        <v>178</v>
      </c>
      <c r="H137" s="7" t="s">
        <v>179</v>
      </c>
      <c r="I137" s="7" t="s">
        <v>190</v>
      </c>
    </row>
    <row r="138" spans="1:9" ht="19.95" hidden="1" customHeight="1" x14ac:dyDescent="0.3">
      <c r="A138" s="7" t="s">
        <v>83</v>
      </c>
      <c r="B138" s="7" t="s">
        <v>163</v>
      </c>
      <c r="C138" s="7" t="s">
        <v>178</v>
      </c>
      <c r="D138" s="7" t="s">
        <v>172</v>
      </c>
      <c r="E138" s="7">
        <v>41243</v>
      </c>
      <c r="F138" s="8">
        <v>42526</v>
      </c>
      <c r="G138" s="7" t="s">
        <v>178</v>
      </c>
      <c r="H138" s="7" t="s">
        <v>178</v>
      </c>
      <c r="I138" s="7" t="s">
        <v>211</v>
      </c>
    </row>
    <row r="139" spans="1:9" ht="19.95" hidden="1" customHeight="1" x14ac:dyDescent="0.3">
      <c r="A139" s="7" t="s">
        <v>89</v>
      </c>
      <c r="B139" s="7" t="s">
        <v>159</v>
      </c>
      <c r="C139" s="7" t="s">
        <v>170</v>
      </c>
      <c r="D139" s="7" t="s">
        <v>174</v>
      </c>
      <c r="E139" s="7" t="s">
        <v>178</v>
      </c>
      <c r="F139" s="7" t="s">
        <v>178</v>
      </c>
      <c r="G139" s="7" t="s">
        <v>178</v>
      </c>
      <c r="H139" s="7" t="s">
        <v>178</v>
      </c>
      <c r="I139" s="7" t="s">
        <v>208</v>
      </c>
    </row>
    <row r="140" spans="1:9" ht="19.95" hidden="1" customHeight="1" x14ac:dyDescent="0.3">
      <c r="A140" s="7" t="s">
        <v>92</v>
      </c>
      <c r="B140" s="7" t="s">
        <v>163</v>
      </c>
      <c r="C140" s="7" t="s">
        <v>168</v>
      </c>
      <c r="D140" s="7" t="s">
        <v>174</v>
      </c>
      <c r="E140" s="7">
        <v>99621</v>
      </c>
      <c r="F140" s="8">
        <v>42589</v>
      </c>
      <c r="G140" s="7" t="s">
        <v>178</v>
      </c>
      <c r="H140" s="7" t="s">
        <v>179</v>
      </c>
      <c r="I140" s="7" t="s">
        <v>248</v>
      </c>
    </row>
    <row r="141" spans="1:9" ht="19.95" hidden="1" customHeight="1" x14ac:dyDescent="0.3">
      <c r="A141" s="7" t="s">
        <v>103</v>
      </c>
      <c r="B141" s="7" t="s">
        <v>165</v>
      </c>
      <c r="C141" s="7" t="s">
        <v>169</v>
      </c>
      <c r="D141" s="7" t="s">
        <v>174</v>
      </c>
      <c r="E141" s="7">
        <v>33264</v>
      </c>
      <c r="F141" s="8">
        <v>42666</v>
      </c>
      <c r="G141" s="7" t="s">
        <v>178</v>
      </c>
      <c r="H141" s="7" t="s">
        <v>181</v>
      </c>
      <c r="I141" s="7" t="s">
        <v>253</v>
      </c>
    </row>
    <row r="142" spans="1:9" ht="19.95" hidden="1" customHeight="1" x14ac:dyDescent="0.3">
      <c r="A142" s="7" t="s">
        <v>104</v>
      </c>
      <c r="B142" s="7" t="s">
        <v>160</v>
      </c>
      <c r="C142" s="7" t="s">
        <v>166</v>
      </c>
      <c r="D142" s="7" t="s">
        <v>176</v>
      </c>
      <c r="E142" s="7">
        <v>96101</v>
      </c>
      <c r="F142" s="8">
        <v>42673</v>
      </c>
      <c r="G142" s="7" t="s">
        <v>178</v>
      </c>
      <c r="H142" s="7" t="s">
        <v>179</v>
      </c>
      <c r="I142" s="7" t="s">
        <v>254</v>
      </c>
    </row>
    <row r="143" spans="1:9" ht="19.95" hidden="1" customHeight="1" x14ac:dyDescent="0.3">
      <c r="A143" s="7" t="s">
        <v>107</v>
      </c>
      <c r="B143" s="7" t="s">
        <v>165</v>
      </c>
      <c r="C143" s="7" t="s">
        <v>169</v>
      </c>
      <c r="D143" s="7" t="s">
        <v>176</v>
      </c>
      <c r="E143" s="7">
        <v>70470</v>
      </c>
      <c r="F143" s="8">
        <v>42694</v>
      </c>
      <c r="G143" s="7" t="s">
        <v>178</v>
      </c>
      <c r="H143" s="7" t="s">
        <v>180</v>
      </c>
      <c r="I143" s="7" t="s">
        <v>257</v>
      </c>
    </row>
    <row r="144" spans="1:9" ht="19.95" hidden="1" customHeight="1" x14ac:dyDescent="0.3">
      <c r="A144" s="7" t="s">
        <v>110</v>
      </c>
      <c r="B144" s="7" t="s">
        <v>165</v>
      </c>
      <c r="C144" s="7" t="s">
        <v>169</v>
      </c>
      <c r="D144" s="7" t="s">
        <v>172</v>
      </c>
      <c r="E144" s="7">
        <v>66503</v>
      </c>
      <c r="F144" s="8">
        <v>42715</v>
      </c>
      <c r="G144" s="7" t="s">
        <v>178</v>
      </c>
      <c r="H144" s="7" t="s">
        <v>180</v>
      </c>
      <c r="I144" s="7" t="s">
        <v>200</v>
      </c>
    </row>
    <row r="145" spans="1:9" ht="19.95" hidden="1" customHeight="1" x14ac:dyDescent="0.3">
      <c r="A145" s="7" t="s">
        <v>111</v>
      </c>
      <c r="B145" s="7" t="s">
        <v>160</v>
      </c>
      <c r="C145" s="7" t="s">
        <v>167</v>
      </c>
      <c r="D145" s="7" t="s">
        <v>172</v>
      </c>
      <c r="E145" s="7">
        <v>42096</v>
      </c>
      <c r="F145" s="8">
        <v>42722</v>
      </c>
      <c r="G145" s="7" t="s">
        <v>178</v>
      </c>
      <c r="H145" s="7" t="s">
        <v>181</v>
      </c>
      <c r="I145" s="7" t="s">
        <v>260</v>
      </c>
    </row>
    <row r="146" spans="1:9" ht="19.95" hidden="1" customHeight="1" x14ac:dyDescent="0.3">
      <c r="A146" s="7" t="s">
        <v>115</v>
      </c>
      <c r="B146" s="7" t="s">
        <v>159</v>
      </c>
      <c r="C146" s="7" t="s">
        <v>169</v>
      </c>
      <c r="D146" s="7" t="s">
        <v>178</v>
      </c>
      <c r="E146" s="7">
        <v>48325</v>
      </c>
      <c r="F146" s="8">
        <v>42750</v>
      </c>
      <c r="G146" s="7" t="s">
        <v>178</v>
      </c>
      <c r="H146" s="7" t="s">
        <v>180</v>
      </c>
      <c r="I146" s="7" t="s">
        <v>261</v>
      </c>
    </row>
    <row r="147" spans="1:9" ht="19.95" hidden="1" customHeight="1" x14ac:dyDescent="0.3">
      <c r="A147" s="7" t="s">
        <v>121</v>
      </c>
      <c r="B147" s="7" t="s">
        <v>159</v>
      </c>
      <c r="C147" s="7" t="s">
        <v>166</v>
      </c>
      <c r="D147" s="7" t="s">
        <v>174</v>
      </c>
      <c r="E147" s="7">
        <v>78330</v>
      </c>
      <c r="F147" s="8">
        <v>42792</v>
      </c>
      <c r="G147" s="7" t="s">
        <v>178</v>
      </c>
      <c r="H147" s="7" t="s">
        <v>179</v>
      </c>
      <c r="I147" s="7" t="s">
        <v>258</v>
      </c>
    </row>
    <row r="148" spans="1:9" ht="19.95" hidden="1" customHeight="1" x14ac:dyDescent="0.3">
      <c r="A148" s="7" t="s">
        <v>128</v>
      </c>
      <c r="B148" s="7" t="s">
        <v>159</v>
      </c>
      <c r="C148" s="7" t="s">
        <v>168</v>
      </c>
      <c r="D148" s="7" t="s">
        <v>176</v>
      </c>
      <c r="E148" s="7">
        <v>44358</v>
      </c>
      <c r="F148" s="8">
        <v>42841</v>
      </c>
      <c r="G148" s="7" t="s">
        <v>178</v>
      </c>
      <c r="H148" s="7" t="s">
        <v>181</v>
      </c>
      <c r="I148" s="7" t="s">
        <v>200</v>
      </c>
    </row>
    <row r="149" spans="1:9" ht="19.95" hidden="1" customHeight="1" x14ac:dyDescent="0.3">
      <c r="A149" s="7" t="s">
        <v>138</v>
      </c>
      <c r="B149" s="7" t="s">
        <v>165</v>
      </c>
      <c r="C149" s="7" t="s">
        <v>178</v>
      </c>
      <c r="D149" s="7" t="s">
        <v>175</v>
      </c>
      <c r="E149" s="7">
        <v>62994</v>
      </c>
      <c r="F149" s="8">
        <v>42911</v>
      </c>
      <c r="G149" s="7" t="s">
        <v>178</v>
      </c>
      <c r="H149" s="7" t="s">
        <v>178</v>
      </c>
      <c r="I149" s="7" t="s">
        <v>221</v>
      </c>
    </row>
    <row r="150" spans="1:9" ht="19.95" hidden="1" customHeight="1" x14ac:dyDescent="0.3">
      <c r="A150" s="7" t="s">
        <v>146</v>
      </c>
      <c r="B150" s="7" t="s">
        <v>164</v>
      </c>
      <c r="C150" s="7" t="s">
        <v>167</v>
      </c>
      <c r="D150" s="7" t="s">
        <v>172</v>
      </c>
      <c r="E150" s="7">
        <v>84968</v>
      </c>
      <c r="F150" s="8">
        <v>42967</v>
      </c>
      <c r="G150" s="7" t="s">
        <v>178</v>
      </c>
      <c r="H150" s="7" t="s">
        <v>178</v>
      </c>
      <c r="I150" s="7" t="s">
        <v>276</v>
      </c>
    </row>
    <row r="151" spans="1:9" ht="19.95" hidden="1" customHeight="1" x14ac:dyDescent="0.3">
      <c r="A151" s="7" t="s">
        <v>152</v>
      </c>
      <c r="B151" s="7" t="s">
        <v>164</v>
      </c>
      <c r="C151" s="7" t="s">
        <v>168</v>
      </c>
      <c r="D151" s="7" t="s">
        <v>175</v>
      </c>
      <c r="E151" s="7">
        <v>91620</v>
      </c>
      <c r="F151" s="8">
        <v>43009</v>
      </c>
      <c r="G151" s="7" t="s">
        <v>178</v>
      </c>
      <c r="H151" s="7" t="s">
        <v>178</v>
      </c>
      <c r="I151" s="7" t="s">
        <v>277</v>
      </c>
    </row>
  </sheetData>
  <autoFilter ref="A1:I151" xr:uid="{1C8AF6BC-8EDD-4A45-92F2-C6F07EB0622A}">
    <filterColumn colId="6">
      <filters>
        <filter val="1"/>
        <filter val="2"/>
        <filter val="3"/>
        <filter val="4"/>
        <filter val="5"/>
      </filters>
    </filterColumn>
    <sortState xmlns:xlrd2="http://schemas.microsoft.com/office/spreadsheetml/2017/richdata2" ref="A2:I151">
      <sortCondition ref="G1:G151"/>
    </sortState>
  </autoFilter>
  <conditionalFormatting sqref="A1">
    <cfRule type="duplicateValues" dxfId="20" priority="1" stopIfTrue="1"/>
  </conditionalFormatting>
  <conditionalFormatting sqref="A1:I1">
    <cfRule type="containsText" dxfId="19" priority="2" operator="containsText" text="Unknown">
      <formula>NOT(ISERROR(SEARCH("Unknown",A1)))</formula>
    </cfRule>
    <cfRule type="containsText" dxfId="18" priority="3" operator="containsText" text="Unknown">
      <formula>NOT(ISERROR(SEARCH("Unknown",A1)))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50CC-0673-4699-BCEE-E4F47E10068B}">
  <sheetPr>
    <tabColor theme="8"/>
  </sheetPr>
  <dimension ref="A2:L20"/>
  <sheetViews>
    <sheetView workbookViewId="0">
      <selection activeCell="I23" sqref="I23"/>
    </sheetView>
  </sheetViews>
  <sheetFormatPr defaultRowHeight="14.4" x14ac:dyDescent="0.3"/>
  <cols>
    <col min="1" max="9" width="20.77734375" customWidth="1"/>
    <col min="11" max="11" width="119.21875" customWidth="1"/>
  </cols>
  <sheetData>
    <row r="2" spans="1:12" x14ac:dyDescent="0.3">
      <c r="A2" s="36" t="s">
        <v>388</v>
      </c>
      <c r="B2" s="37"/>
      <c r="C2" s="37"/>
      <c r="D2" s="37"/>
      <c r="E2" s="37"/>
      <c r="F2" s="37"/>
      <c r="G2" s="37"/>
      <c r="H2" s="37"/>
      <c r="I2" s="38"/>
    </row>
    <row r="3" spans="1:12" x14ac:dyDescent="0.3">
      <c r="A3" s="39"/>
      <c r="B3" s="40"/>
      <c r="C3" s="40"/>
      <c r="D3" s="40"/>
      <c r="E3" s="40"/>
      <c r="F3" s="40"/>
      <c r="G3" s="40"/>
      <c r="H3" s="40"/>
      <c r="I3" s="41"/>
    </row>
    <row r="4" spans="1:12" ht="19.95" customHeight="1" x14ac:dyDescent="0.3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K4" s="27" t="s">
        <v>395</v>
      </c>
    </row>
    <row r="5" spans="1:12" ht="19.95" customHeight="1" x14ac:dyDescent="0.3">
      <c r="A5" s="23" t="s">
        <v>20</v>
      </c>
      <c r="B5" s="23" t="s">
        <v>163</v>
      </c>
      <c r="C5" s="23" t="s">
        <v>169</v>
      </c>
      <c r="D5" s="23" t="s">
        <v>173</v>
      </c>
      <c r="E5" s="23">
        <v>91180</v>
      </c>
      <c r="F5" s="24">
        <v>42085</v>
      </c>
      <c r="G5" s="23">
        <v>5</v>
      </c>
      <c r="H5" s="23" t="s">
        <v>180</v>
      </c>
      <c r="I5" s="23" t="s">
        <v>192</v>
      </c>
      <c r="K5" s="27" t="s">
        <v>390</v>
      </c>
    </row>
    <row r="6" spans="1:12" ht="19.95" customHeight="1" x14ac:dyDescent="0.3">
      <c r="A6" s="23" t="s">
        <v>21</v>
      </c>
      <c r="B6" s="23" t="s">
        <v>165</v>
      </c>
      <c r="C6" s="23" t="s">
        <v>168</v>
      </c>
      <c r="D6" s="23" t="s">
        <v>178</v>
      </c>
      <c r="E6" s="23">
        <v>96418</v>
      </c>
      <c r="F6" s="24">
        <v>42092</v>
      </c>
      <c r="G6" s="23">
        <v>5</v>
      </c>
      <c r="H6" s="23" t="s">
        <v>180</v>
      </c>
      <c r="I6" s="23" t="s">
        <v>183</v>
      </c>
      <c r="K6" s="28" t="s">
        <v>391</v>
      </c>
    </row>
    <row r="7" spans="1:12" ht="19.95" customHeight="1" x14ac:dyDescent="0.3">
      <c r="A7" s="23" t="s">
        <v>28</v>
      </c>
      <c r="B7" s="23" t="s">
        <v>159</v>
      </c>
      <c r="C7" s="23" t="s">
        <v>178</v>
      </c>
      <c r="D7" s="23" t="s">
        <v>174</v>
      </c>
      <c r="E7" s="23">
        <v>67531</v>
      </c>
      <c r="F7" s="24">
        <v>42141</v>
      </c>
      <c r="G7" s="23">
        <v>5</v>
      </c>
      <c r="H7" s="23" t="s">
        <v>181</v>
      </c>
      <c r="I7" s="23" t="s">
        <v>199</v>
      </c>
      <c r="K7" s="28" t="s">
        <v>392</v>
      </c>
    </row>
    <row r="8" spans="1:12" ht="19.95" customHeight="1" x14ac:dyDescent="0.3">
      <c r="A8" s="23" t="s">
        <v>31</v>
      </c>
      <c r="B8" s="23" t="s">
        <v>159</v>
      </c>
      <c r="C8" s="23" t="s">
        <v>166</v>
      </c>
      <c r="D8" s="23" t="s">
        <v>174</v>
      </c>
      <c r="E8" s="23">
        <v>38333</v>
      </c>
      <c r="F8" s="24">
        <v>42162</v>
      </c>
      <c r="G8" s="23">
        <v>5</v>
      </c>
      <c r="H8" s="23" t="s">
        <v>178</v>
      </c>
      <c r="I8" s="23" t="s">
        <v>202</v>
      </c>
      <c r="K8" s="28" t="s">
        <v>393</v>
      </c>
      <c r="L8" s="29"/>
    </row>
    <row r="9" spans="1:12" ht="15.6" x14ac:dyDescent="0.3">
      <c r="A9" s="23" t="s">
        <v>38</v>
      </c>
      <c r="B9" s="23" t="s">
        <v>165</v>
      </c>
      <c r="C9" s="23" t="s">
        <v>170</v>
      </c>
      <c r="D9" s="23" t="s">
        <v>175</v>
      </c>
      <c r="E9" s="23">
        <v>92959</v>
      </c>
      <c r="F9" s="24">
        <v>42211</v>
      </c>
      <c r="G9" s="23">
        <v>5</v>
      </c>
      <c r="H9" s="23" t="s">
        <v>178</v>
      </c>
      <c r="I9" s="23" t="s">
        <v>209</v>
      </c>
      <c r="K9" s="28" t="s">
        <v>394</v>
      </c>
    </row>
    <row r="10" spans="1:12" ht="15.6" x14ac:dyDescent="0.3">
      <c r="A10" s="25"/>
      <c r="B10" s="25"/>
      <c r="C10" s="25"/>
      <c r="D10" s="25"/>
      <c r="E10" s="25"/>
      <c r="F10" s="26"/>
      <c r="G10" s="25"/>
      <c r="H10" s="25"/>
      <c r="I10" s="25"/>
      <c r="K10" s="28" t="s">
        <v>394</v>
      </c>
    </row>
    <row r="11" spans="1:12" x14ac:dyDescent="0.3">
      <c r="A11" s="25"/>
      <c r="B11" s="25"/>
      <c r="C11" s="25"/>
      <c r="D11" s="25"/>
      <c r="E11" s="25"/>
      <c r="F11" s="26"/>
      <c r="G11" s="25"/>
      <c r="H11" s="25"/>
      <c r="I11" s="25"/>
    </row>
    <row r="13" spans="1:12" x14ac:dyDescent="0.3">
      <c r="A13" s="36" t="s">
        <v>389</v>
      </c>
      <c r="B13" s="37"/>
      <c r="C13" s="37"/>
      <c r="D13" s="37"/>
      <c r="E13" s="37"/>
      <c r="F13" s="37"/>
      <c r="G13" s="37"/>
      <c r="H13" s="37"/>
      <c r="I13" s="38"/>
    </row>
    <row r="14" spans="1:12" x14ac:dyDescent="0.3">
      <c r="A14" s="39"/>
      <c r="B14" s="40"/>
      <c r="C14" s="40"/>
      <c r="D14" s="40"/>
      <c r="E14" s="40"/>
      <c r="F14" s="40"/>
      <c r="G14" s="40"/>
      <c r="H14" s="40"/>
      <c r="I14" s="41"/>
    </row>
    <row r="15" spans="1:12" ht="19.95" customHeight="1" x14ac:dyDescent="0.3">
      <c r="A15" s="15" t="s">
        <v>0</v>
      </c>
      <c r="B15" s="15" t="s">
        <v>1</v>
      </c>
      <c r="C15" s="15" t="s">
        <v>2</v>
      </c>
      <c r="D15" s="15" t="s">
        <v>3</v>
      </c>
      <c r="E15" s="15" t="s">
        <v>4</v>
      </c>
      <c r="F15" s="15" t="s">
        <v>5</v>
      </c>
      <c r="G15" s="15" t="s">
        <v>6</v>
      </c>
      <c r="H15" s="15" t="s">
        <v>7</v>
      </c>
      <c r="I15" s="15" t="s">
        <v>8</v>
      </c>
    </row>
    <row r="16" spans="1:12" ht="19.95" customHeight="1" x14ac:dyDescent="0.3">
      <c r="A16" s="23" t="s">
        <v>10</v>
      </c>
      <c r="B16" s="23" t="s">
        <v>159</v>
      </c>
      <c r="C16" s="23" t="s">
        <v>167</v>
      </c>
      <c r="D16" s="23" t="s">
        <v>172</v>
      </c>
      <c r="E16" s="23">
        <v>54255</v>
      </c>
      <c r="F16" s="24">
        <v>42015</v>
      </c>
      <c r="G16" s="23">
        <v>1</v>
      </c>
      <c r="H16" s="23" t="s">
        <v>179</v>
      </c>
      <c r="I16" s="23" t="s">
        <v>183</v>
      </c>
    </row>
    <row r="17" spans="1:9" ht="19.95" customHeight="1" x14ac:dyDescent="0.3">
      <c r="A17" s="23" t="s">
        <v>12</v>
      </c>
      <c r="B17" s="23" t="s">
        <v>161</v>
      </c>
      <c r="C17" s="23" t="s">
        <v>168</v>
      </c>
      <c r="D17" s="23" t="s">
        <v>173</v>
      </c>
      <c r="E17" s="23">
        <v>94406</v>
      </c>
      <c r="F17" s="24">
        <v>42029</v>
      </c>
      <c r="G17" s="23">
        <v>1</v>
      </c>
      <c r="H17" s="23" t="s">
        <v>180</v>
      </c>
      <c r="I17" s="23" t="s">
        <v>185</v>
      </c>
    </row>
    <row r="18" spans="1:9" ht="19.95" customHeight="1" x14ac:dyDescent="0.3">
      <c r="A18" s="23" t="s">
        <v>13</v>
      </c>
      <c r="B18" s="23" t="s">
        <v>162</v>
      </c>
      <c r="C18" s="23" t="s">
        <v>168</v>
      </c>
      <c r="D18" s="23" t="s">
        <v>172</v>
      </c>
      <c r="E18" s="23">
        <v>64120</v>
      </c>
      <c r="F18" s="24">
        <v>42036</v>
      </c>
      <c r="G18" s="23">
        <v>1</v>
      </c>
      <c r="H18" s="23" t="s">
        <v>180</v>
      </c>
      <c r="I18" s="23" t="s">
        <v>186</v>
      </c>
    </row>
    <row r="19" spans="1:9" ht="19.95" customHeight="1" x14ac:dyDescent="0.3">
      <c r="A19" s="23" t="s">
        <v>19</v>
      </c>
      <c r="B19" s="23" t="s">
        <v>163</v>
      </c>
      <c r="C19" s="23" t="s">
        <v>166</v>
      </c>
      <c r="D19" s="23" t="s">
        <v>175</v>
      </c>
      <c r="E19" s="23">
        <v>64247</v>
      </c>
      <c r="F19" s="24">
        <v>42078</v>
      </c>
      <c r="G19" s="23">
        <v>1</v>
      </c>
      <c r="H19" s="23" t="s">
        <v>181</v>
      </c>
      <c r="I19" s="23" t="s">
        <v>191</v>
      </c>
    </row>
    <row r="20" spans="1:9" ht="19.95" customHeight="1" x14ac:dyDescent="0.3">
      <c r="A20" s="23" t="s">
        <v>26</v>
      </c>
      <c r="B20" s="23" t="s">
        <v>162</v>
      </c>
      <c r="C20" s="23" t="s">
        <v>166</v>
      </c>
      <c r="D20" s="23" t="s">
        <v>176</v>
      </c>
      <c r="E20" s="23">
        <v>41341</v>
      </c>
      <c r="F20" s="24">
        <v>42127</v>
      </c>
      <c r="G20" s="23">
        <v>1</v>
      </c>
      <c r="H20" s="23" t="s">
        <v>179</v>
      </c>
      <c r="I20" s="23" t="s">
        <v>197</v>
      </c>
    </row>
  </sheetData>
  <mergeCells count="2">
    <mergeCell ref="A2:I3"/>
    <mergeCell ref="A13:I14"/>
  </mergeCells>
  <conditionalFormatting sqref="A4">
    <cfRule type="duplicateValues" dxfId="17" priority="1" stopIfTrue="1"/>
  </conditionalFormatting>
  <conditionalFormatting sqref="A15">
    <cfRule type="duplicateValues" dxfId="16" priority="4" stopIfTrue="1"/>
  </conditionalFormatting>
  <conditionalFormatting sqref="A4:I4">
    <cfRule type="containsText" dxfId="15" priority="2" operator="containsText" text="Unknown">
      <formula>NOT(ISERROR(SEARCH("Unknown",A4)))</formula>
    </cfRule>
    <cfRule type="containsText" dxfId="14" priority="3" operator="containsText" text="Unknown">
      <formula>NOT(ISERROR(SEARCH("Unknown",A4)))</formula>
    </cfRule>
  </conditionalFormatting>
  <conditionalFormatting sqref="A15:I15">
    <cfRule type="containsText" dxfId="13" priority="5" operator="containsText" text="Unknown">
      <formula>NOT(ISERROR(SEARCH("Unknown",A15)))</formula>
    </cfRule>
    <cfRule type="containsText" dxfId="12" priority="6" operator="containsText" text="Unknown">
      <formula>NOT(ISERROR(SEARCH("Unknown",A15)))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7BD8-726D-44B6-A71F-FB25F49C2F50}">
  <sheetPr>
    <tabColor rgb="FFFFC000"/>
  </sheetPr>
  <dimension ref="A1:P151"/>
  <sheetViews>
    <sheetView zoomScaleNormal="100" workbookViewId="0">
      <selection activeCell="J6" sqref="J6"/>
    </sheetView>
  </sheetViews>
  <sheetFormatPr defaultRowHeight="14.4" x14ac:dyDescent="0.3"/>
  <cols>
    <col min="1" max="16" width="20.77734375" customWidth="1"/>
  </cols>
  <sheetData>
    <row r="1" spans="1:16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396</v>
      </c>
      <c r="K1" s="9" t="s">
        <v>397</v>
      </c>
      <c r="L1" s="9" t="s">
        <v>398</v>
      </c>
      <c r="M1" s="9" t="s">
        <v>401</v>
      </c>
      <c r="N1" s="9" t="s">
        <v>399</v>
      </c>
      <c r="O1" s="9" t="s">
        <v>400</v>
      </c>
    </row>
    <row r="2" spans="1:16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42">
        <f ca="1">TODAY()</f>
        <v>46289</v>
      </c>
      <c r="K2" s="43">
        <f ca="1">NOW()</f>
        <v>46289.794448726854</v>
      </c>
      <c r="L2" s="7" t="str">
        <f>IF(ISNUMBER(F2),YEAR(F2),"Unknown")</f>
        <v>Unknown</v>
      </c>
      <c r="M2" s="7" t="str">
        <f>IF(ISNUMBER(F2),MONTH(F2),"Unknown")</f>
        <v>Unknown</v>
      </c>
      <c r="N2" s="7" t="str">
        <f>IF(ISNUMBER(F2),WEEKDAY(F2),"Unknown")</f>
        <v>Unknown</v>
      </c>
      <c r="O2" s="7" t="str">
        <f ca="1">IF(ISNUMBER(F2),DATEDIF(F2,TODAY(),"Y"),"Unknown")</f>
        <v>Unknown</v>
      </c>
      <c r="P2" s="7"/>
    </row>
    <row r="3" spans="1:16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/>
      <c r="K3" s="7"/>
      <c r="L3" s="7">
        <f t="shared" ref="L3:L66" si="0">IF(ISNUMBER(F3),YEAR(F3),"Unknown")</f>
        <v>2015</v>
      </c>
      <c r="M3" s="7">
        <f t="shared" ref="M3:M66" si="1">IF(ISNUMBER(F3),MONTH(F3),"Unknown")</f>
        <v>1</v>
      </c>
      <c r="N3" s="7">
        <f t="shared" ref="N3:N66" si="2">IF(ISNUMBER(F3),WEEKDAY(F3),"Unknown")</f>
        <v>1</v>
      </c>
      <c r="O3" s="7">
        <f ca="1">IF(ISNUMBER(F3),DATEDIF(F3,TODAY(),"Y"),"Unknown")</f>
        <v>11</v>
      </c>
      <c r="P3" s="7"/>
    </row>
    <row r="4" spans="1:16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/>
      <c r="K4" s="7"/>
      <c r="L4" s="7">
        <f t="shared" si="0"/>
        <v>2015</v>
      </c>
      <c r="M4" s="7">
        <f t="shared" si="1"/>
        <v>1</v>
      </c>
      <c r="N4" s="7">
        <f t="shared" si="2"/>
        <v>1</v>
      </c>
      <c r="O4" s="7">
        <f t="shared" ref="O4:O67" ca="1" si="3">IF(ISNUMBER(F4),DATEDIF(F4,TODAY(),"Y"),"Unknown")</f>
        <v>11</v>
      </c>
      <c r="P4" s="7"/>
    </row>
    <row r="5" spans="1:16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/>
      <c r="K5" s="7"/>
      <c r="L5" s="7">
        <f t="shared" si="0"/>
        <v>2015</v>
      </c>
      <c r="M5" s="7">
        <f t="shared" si="1"/>
        <v>1</v>
      </c>
      <c r="N5" s="7">
        <f t="shared" si="2"/>
        <v>1</v>
      </c>
      <c r="O5" s="7">
        <f t="shared" ca="1" si="3"/>
        <v>11</v>
      </c>
      <c r="P5" s="7"/>
    </row>
    <row r="6" spans="1:16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/>
      <c r="K6" s="7"/>
      <c r="L6" s="7">
        <f t="shared" si="0"/>
        <v>2015</v>
      </c>
      <c r="M6" s="7">
        <f t="shared" si="1"/>
        <v>2</v>
      </c>
      <c r="N6" s="7">
        <f t="shared" si="2"/>
        <v>1</v>
      </c>
      <c r="O6" s="7">
        <f t="shared" ca="1" si="3"/>
        <v>11</v>
      </c>
      <c r="P6" s="7"/>
    </row>
    <row r="7" spans="1:16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>
        <f t="shared" si="0"/>
        <v>2015</v>
      </c>
      <c r="M7" s="7">
        <f t="shared" si="1"/>
        <v>2</v>
      </c>
      <c r="N7" s="7">
        <f t="shared" si="2"/>
        <v>1</v>
      </c>
      <c r="O7" s="7">
        <f t="shared" ca="1" si="3"/>
        <v>11</v>
      </c>
      <c r="P7" s="7"/>
    </row>
    <row r="8" spans="1:16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>
        <f t="shared" si="0"/>
        <v>2015</v>
      </c>
      <c r="M8" s="7">
        <f t="shared" si="1"/>
        <v>2</v>
      </c>
      <c r="N8" s="7">
        <f t="shared" si="2"/>
        <v>1</v>
      </c>
      <c r="O8" s="7">
        <f t="shared" ca="1" si="3"/>
        <v>11</v>
      </c>
      <c r="P8" s="7"/>
    </row>
    <row r="9" spans="1:16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>
        <f t="shared" si="0"/>
        <v>2015</v>
      </c>
      <c r="M9" s="7">
        <f t="shared" si="1"/>
        <v>2</v>
      </c>
      <c r="N9" s="7">
        <f t="shared" si="2"/>
        <v>1</v>
      </c>
      <c r="O9" s="7">
        <f t="shared" ca="1" si="3"/>
        <v>11</v>
      </c>
      <c r="P9" s="7"/>
    </row>
    <row r="10" spans="1:16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>
        <f t="shared" si="0"/>
        <v>2015</v>
      </c>
      <c r="M10" s="7">
        <f t="shared" si="1"/>
        <v>3</v>
      </c>
      <c r="N10" s="7">
        <f t="shared" si="2"/>
        <v>1</v>
      </c>
      <c r="O10" s="7">
        <f t="shared" ca="1" si="3"/>
        <v>11</v>
      </c>
      <c r="P10" s="7"/>
    </row>
    <row r="11" spans="1:16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>
        <f t="shared" si="0"/>
        <v>2015</v>
      </c>
      <c r="M11" s="7">
        <f t="shared" si="1"/>
        <v>3</v>
      </c>
      <c r="N11" s="7">
        <f t="shared" si="2"/>
        <v>1</v>
      </c>
      <c r="O11" s="7">
        <f t="shared" ca="1" si="3"/>
        <v>11</v>
      </c>
      <c r="P11" s="7"/>
    </row>
    <row r="12" spans="1:16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>
        <f t="shared" si="0"/>
        <v>2015</v>
      </c>
      <c r="M12" s="7">
        <f t="shared" si="1"/>
        <v>3</v>
      </c>
      <c r="N12" s="7">
        <f t="shared" si="2"/>
        <v>1</v>
      </c>
      <c r="O12" s="7">
        <f t="shared" ca="1" si="3"/>
        <v>11</v>
      </c>
      <c r="P12" s="7"/>
    </row>
    <row r="13" spans="1:16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>
        <f t="shared" si="0"/>
        <v>2015</v>
      </c>
      <c r="M13" s="7">
        <f t="shared" si="1"/>
        <v>3</v>
      </c>
      <c r="N13" s="7">
        <f t="shared" si="2"/>
        <v>1</v>
      </c>
      <c r="O13" s="7">
        <f t="shared" ca="1" si="3"/>
        <v>11</v>
      </c>
      <c r="P13" s="7"/>
    </row>
    <row r="14" spans="1:16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>
        <f t="shared" si="0"/>
        <v>2015</v>
      </c>
      <c r="M14" s="7">
        <f t="shared" si="1"/>
        <v>3</v>
      </c>
      <c r="N14" s="7">
        <f t="shared" si="2"/>
        <v>1</v>
      </c>
      <c r="O14" s="7">
        <f t="shared" ca="1" si="3"/>
        <v>11</v>
      </c>
      <c r="P14" s="7"/>
    </row>
    <row r="15" spans="1:16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>
        <f t="shared" si="0"/>
        <v>2015</v>
      </c>
      <c r="M15" s="7">
        <f t="shared" si="1"/>
        <v>4</v>
      </c>
      <c r="N15" s="7">
        <f t="shared" si="2"/>
        <v>1</v>
      </c>
      <c r="O15" s="7">
        <f t="shared" ca="1" si="3"/>
        <v>11</v>
      </c>
      <c r="P15" s="7"/>
    </row>
    <row r="16" spans="1:16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>
        <f t="shared" si="0"/>
        <v>2015</v>
      </c>
      <c r="M16" s="7">
        <f t="shared" si="1"/>
        <v>4</v>
      </c>
      <c r="N16" s="7">
        <f t="shared" si="2"/>
        <v>1</v>
      </c>
      <c r="O16" s="7">
        <f t="shared" ca="1" si="3"/>
        <v>11</v>
      </c>
      <c r="P16" s="7"/>
    </row>
    <row r="17" spans="1:16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>
        <f t="shared" si="0"/>
        <v>2015</v>
      </c>
      <c r="M17" s="7">
        <f t="shared" si="1"/>
        <v>4</v>
      </c>
      <c r="N17" s="7">
        <f t="shared" si="2"/>
        <v>1</v>
      </c>
      <c r="O17" s="7">
        <f t="shared" ca="1" si="3"/>
        <v>11</v>
      </c>
      <c r="P17" s="7"/>
    </row>
    <row r="18" spans="1:16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>
        <f t="shared" si="0"/>
        <v>2015</v>
      </c>
      <c r="M18" s="7">
        <f t="shared" si="1"/>
        <v>4</v>
      </c>
      <c r="N18" s="7">
        <f t="shared" si="2"/>
        <v>1</v>
      </c>
      <c r="O18" s="7">
        <f t="shared" ca="1" si="3"/>
        <v>11</v>
      </c>
      <c r="P18" s="7"/>
    </row>
    <row r="19" spans="1:16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>
        <f t="shared" si="0"/>
        <v>2015</v>
      </c>
      <c r="M19" s="7">
        <f t="shared" si="1"/>
        <v>5</v>
      </c>
      <c r="N19" s="7">
        <f t="shared" si="2"/>
        <v>1</v>
      </c>
      <c r="O19" s="7">
        <f t="shared" ca="1" si="3"/>
        <v>11</v>
      </c>
      <c r="P19" s="7"/>
    </row>
    <row r="20" spans="1:16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>
        <f t="shared" si="0"/>
        <v>2015</v>
      </c>
      <c r="M20" s="7">
        <f t="shared" si="1"/>
        <v>5</v>
      </c>
      <c r="N20" s="7">
        <f t="shared" si="2"/>
        <v>1</v>
      </c>
      <c r="O20" s="7">
        <f t="shared" ca="1" si="3"/>
        <v>11</v>
      </c>
      <c r="P20" s="7"/>
    </row>
    <row r="21" spans="1:16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>
        <f t="shared" si="0"/>
        <v>2015</v>
      </c>
      <c r="M21" s="7">
        <f t="shared" si="1"/>
        <v>5</v>
      </c>
      <c r="N21" s="7">
        <f t="shared" si="2"/>
        <v>1</v>
      </c>
      <c r="O21" s="7">
        <f t="shared" ca="1" si="3"/>
        <v>11</v>
      </c>
      <c r="P21" s="7"/>
    </row>
    <row r="22" spans="1:16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>
        <f t="shared" si="0"/>
        <v>2015</v>
      </c>
      <c r="M22" s="7">
        <f t="shared" si="1"/>
        <v>5</v>
      </c>
      <c r="N22" s="7">
        <f t="shared" si="2"/>
        <v>1</v>
      </c>
      <c r="O22" s="7">
        <f t="shared" ca="1" si="3"/>
        <v>11</v>
      </c>
      <c r="P22" s="7"/>
    </row>
    <row r="23" spans="1:16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>
        <f t="shared" si="0"/>
        <v>2015</v>
      </c>
      <c r="M23" s="7">
        <f t="shared" si="1"/>
        <v>5</v>
      </c>
      <c r="N23" s="7">
        <f t="shared" si="2"/>
        <v>1</v>
      </c>
      <c r="O23" s="7">
        <f t="shared" ca="1" si="3"/>
        <v>11</v>
      </c>
      <c r="P23" s="7"/>
    </row>
    <row r="24" spans="1:16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>
        <f t="shared" si="0"/>
        <v>2015</v>
      </c>
      <c r="M24" s="7">
        <f t="shared" si="1"/>
        <v>6</v>
      </c>
      <c r="N24" s="7">
        <f t="shared" si="2"/>
        <v>1</v>
      </c>
      <c r="O24" s="7">
        <f t="shared" ca="1" si="3"/>
        <v>11</v>
      </c>
      <c r="P24" s="7"/>
    </row>
    <row r="25" spans="1:16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>
        <f t="shared" si="0"/>
        <v>2015</v>
      </c>
      <c r="M25" s="7">
        <f t="shared" si="1"/>
        <v>6</v>
      </c>
      <c r="N25" s="7">
        <f t="shared" si="2"/>
        <v>1</v>
      </c>
      <c r="O25" s="7">
        <f t="shared" ca="1" si="3"/>
        <v>11</v>
      </c>
      <c r="P25" s="7"/>
    </row>
    <row r="26" spans="1:16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>
        <f t="shared" si="0"/>
        <v>2015</v>
      </c>
      <c r="M26" s="7">
        <f t="shared" si="1"/>
        <v>6</v>
      </c>
      <c r="N26" s="7">
        <f t="shared" si="2"/>
        <v>1</v>
      </c>
      <c r="O26" s="7">
        <f t="shared" ca="1" si="3"/>
        <v>11</v>
      </c>
      <c r="P26" s="7"/>
    </row>
    <row r="27" spans="1:16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>
        <f t="shared" si="0"/>
        <v>2015</v>
      </c>
      <c r="M27" s="7">
        <f t="shared" si="1"/>
        <v>6</v>
      </c>
      <c r="N27" s="7">
        <f t="shared" si="2"/>
        <v>1</v>
      </c>
      <c r="O27" s="7">
        <f t="shared" ca="1" si="3"/>
        <v>11</v>
      </c>
      <c r="P27" s="7"/>
    </row>
    <row r="28" spans="1:16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>
        <f t="shared" si="0"/>
        <v>2015</v>
      </c>
      <c r="M28" s="7">
        <f t="shared" si="1"/>
        <v>7</v>
      </c>
      <c r="N28" s="7">
        <f t="shared" si="2"/>
        <v>1</v>
      </c>
      <c r="O28" s="7">
        <f t="shared" ca="1" si="3"/>
        <v>11</v>
      </c>
      <c r="P28" s="7"/>
    </row>
    <row r="29" spans="1:16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>
        <f t="shared" si="0"/>
        <v>2015</v>
      </c>
      <c r="M29" s="7">
        <f t="shared" si="1"/>
        <v>7</v>
      </c>
      <c r="N29" s="7">
        <f t="shared" si="2"/>
        <v>1</v>
      </c>
      <c r="O29" s="7">
        <f t="shared" ca="1" si="3"/>
        <v>11</v>
      </c>
      <c r="P29" s="7"/>
    </row>
    <row r="30" spans="1:16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>
        <f t="shared" si="0"/>
        <v>2015</v>
      </c>
      <c r="M30" s="7">
        <f t="shared" si="1"/>
        <v>7</v>
      </c>
      <c r="N30" s="7">
        <f t="shared" si="2"/>
        <v>1</v>
      </c>
      <c r="O30" s="7">
        <f t="shared" ca="1" si="3"/>
        <v>11</v>
      </c>
      <c r="P30" s="7"/>
    </row>
    <row r="31" spans="1:16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>
        <f t="shared" si="0"/>
        <v>2015</v>
      </c>
      <c r="M31" s="7">
        <f t="shared" si="1"/>
        <v>7</v>
      </c>
      <c r="N31" s="7">
        <f t="shared" si="2"/>
        <v>1</v>
      </c>
      <c r="O31" s="7">
        <f t="shared" ca="1" si="3"/>
        <v>11</v>
      </c>
      <c r="P31" s="7"/>
    </row>
    <row r="32" spans="1:16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 t="str">
        <f t="shared" si="0"/>
        <v>Unknown</v>
      </c>
      <c r="M32" s="7" t="str">
        <f t="shared" si="1"/>
        <v>Unknown</v>
      </c>
      <c r="N32" s="7" t="str">
        <f t="shared" si="2"/>
        <v>Unknown</v>
      </c>
      <c r="O32" s="7" t="str">
        <f t="shared" ca="1" si="3"/>
        <v>Unknown</v>
      </c>
      <c r="P32" s="7"/>
    </row>
    <row r="33" spans="1:16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>
        <f t="shared" si="0"/>
        <v>2015</v>
      </c>
      <c r="M33" s="7">
        <f t="shared" si="1"/>
        <v>8</v>
      </c>
      <c r="N33" s="7">
        <f t="shared" si="2"/>
        <v>1</v>
      </c>
      <c r="O33" s="7">
        <f t="shared" ca="1" si="3"/>
        <v>11</v>
      </c>
      <c r="P33" s="7"/>
    </row>
    <row r="34" spans="1:16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>
        <f t="shared" si="0"/>
        <v>2015</v>
      </c>
      <c r="M34" s="7">
        <f t="shared" si="1"/>
        <v>8</v>
      </c>
      <c r="N34" s="7">
        <f t="shared" si="2"/>
        <v>1</v>
      </c>
      <c r="O34" s="7">
        <f t="shared" ca="1" si="3"/>
        <v>11</v>
      </c>
      <c r="P34" s="7"/>
    </row>
    <row r="35" spans="1:16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>
        <f t="shared" si="0"/>
        <v>2015</v>
      </c>
      <c r="M35" s="7">
        <f t="shared" si="1"/>
        <v>8</v>
      </c>
      <c r="N35" s="7">
        <f t="shared" si="2"/>
        <v>1</v>
      </c>
      <c r="O35" s="7">
        <f t="shared" ca="1" si="3"/>
        <v>11</v>
      </c>
      <c r="P35" s="7"/>
    </row>
    <row r="36" spans="1:16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>
        <f t="shared" si="0"/>
        <v>2015</v>
      </c>
      <c r="M36" s="7">
        <f t="shared" si="1"/>
        <v>8</v>
      </c>
      <c r="N36" s="7">
        <f t="shared" si="2"/>
        <v>1</v>
      </c>
      <c r="O36" s="7">
        <f t="shared" ca="1" si="3"/>
        <v>11</v>
      </c>
      <c r="P36" s="7"/>
    </row>
    <row r="37" spans="1:16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>
        <f t="shared" si="0"/>
        <v>2015</v>
      </c>
      <c r="M37" s="7">
        <f t="shared" si="1"/>
        <v>9</v>
      </c>
      <c r="N37" s="7">
        <f t="shared" si="2"/>
        <v>1</v>
      </c>
      <c r="O37" s="7">
        <f t="shared" ca="1" si="3"/>
        <v>11</v>
      </c>
      <c r="P37" s="7"/>
    </row>
    <row r="38" spans="1:16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>
        <f t="shared" si="0"/>
        <v>2015</v>
      </c>
      <c r="M38" s="7">
        <f t="shared" si="1"/>
        <v>9</v>
      </c>
      <c r="N38" s="7">
        <f t="shared" si="2"/>
        <v>1</v>
      </c>
      <c r="O38" s="7">
        <f t="shared" ca="1" si="3"/>
        <v>11</v>
      </c>
      <c r="P38" s="7"/>
    </row>
    <row r="39" spans="1:16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>
        <f t="shared" si="0"/>
        <v>2015</v>
      </c>
      <c r="M39" s="7">
        <f t="shared" si="1"/>
        <v>9</v>
      </c>
      <c r="N39" s="7">
        <f t="shared" si="2"/>
        <v>1</v>
      </c>
      <c r="O39" s="7">
        <f t="shared" ca="1" si="3"/>
        <v>11</v>
      </c>
      <c r="P39" s="7"/>
    </row>
    <row r="40" spans="1:16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>
        <f t="shared" si="0"/>
        <v>2015</v>
      </c>
      <c r="M40" s="7">
        <f t="shared" si="1"/>
        <v>9</v>
      </c>
      <c r="N40" s="7">
        <f t="shared" si="2"/>
        <v>1</v>
      </c>
      <c r="O40" s="7">
        <f t="shared" ca="1" si="3"/>
        <v>10</v>
      </c>
      <c r="P40" s="7"/>
    </row>
    <row r="41" spans="1:16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>
        <f t="shared" si="0"/>
        <v>2015</v>
      </c>
      <c r="M41" s="7">
        <f t="shared" si="1"/>
        <v>10</v>
      </c>
      <c r="N41" s="7">
        <f t="shared" si="2"/>
        <v>1</v>
      </c>
      <c r="O41" s="7">
        <f t="shared" ca="1" si="3"/>
        <v>10</v>
      </c>
      <c r="P41" s="7"/>
    </row>
    <row r="42" spans="1:16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 t="str">
        <f t="shared" si="0"/>
        <v>Unknown</v>
      </c>
      <c r="M42" s="7" t="str">
        <f t="shared" si="1"/>
        <v>Unknown</v>
      </c>
      <c r="N42" s="7" t="str">
        <f t="shared" si="2"/>
        <v>Unknown</v>
      </c>
      <c r="O42" s="7" t="str">
        <f t="shared" ca="1" si="3"/>
        <v>Unknown</v>
      </c>
      <c r="P42" s="7"/>
    </row>
    <row r="43" spans="1:16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>
        <f t="shared" si="0"/>
        <v>2015</v>
      </c>
      <c r="M43" s="7">
        <f t="shared" si="1"/>
        <v>10</v>
      </c>
      <c r="N43" s="7">
        <f t="shared" si="2"/>
        <v>1</v>
      </c>
      <c r="O43" s="7">
        <f t="shared" ca="1" si="3"/>
        <v>10</v>
      </c>
      <c r="P43" s="7"/>
    </row>
    <row r="44" spans="1:16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>
        <f t="shared" si="0"/>
        <v>2015</v>
      </c>
      <c r="M44" s="7">
        <f t="shared" si="1"/>
        <v>10</v>
      </c>
      <c r="N44" s="7">
        <f t="shared" si="2"/>
        <v>1</v>
      </c>
      <c r="O44" s="7">
        <f t="shared" ca="1" si="3"/>
        <v>10</v>
      </c>
      <c r="P44" s="7"/>
    </row>
    <row r="45" spans="1:16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>
        <f t="shared" si="0"/>
        <v>2015</v>
      </c>
      <c r="M45" s="7">
        <f t="shared" si="1"/>
        <v>11</v>
      </c>
      <c r="N45" s="7">
        <f t="shared" si="2"/>
        <v>1</v>
      </c>
      <c r="O45" s="7">
        <f t="shared" ca="1" si="3"/>
        <v>10</v>
      </c>
      <c r="P45" s="7"/>
    </row>
    <row r="46" spans="1:16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>
        <f t="shared" si="0"/>
        <v>2015</v>
      </c>
      <c r="M46" s="7">
        <f t="shared" si="1"/>
        <v>11</v>
      </c>
      <c r="N46" s="7">
        <f t="shared" si="2"/>
        <v>1</v>
      </c>
      <c r="O46" s="7">
        <f t="shared" ca="1" si="3"/>
        <v>10</v>
      </c>
      <c r="P46" s="7"/>
    </row>
    <row r="47" spans="1:16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>
        <f t="shared" si="0"/>
        <v>2015</v>
      </c>
      <c r="M47" s="7">
        <f t="shared" si="1"/>
        <v>11</v>
      </c>
      <c r="N47" s="7">
        <f t="shared" si="2"/>
        <v>1</v>
      </c>
      <c r="O47" s="7">
        <f t="shared" ca="1" si="3"/>
        <v>10</v>
      </c>
      <c r="P47" s="7"/>
    </row>
    <row r="48" spans="1:16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>
        <f t="shared" si="0"/>
        <v>2015</v>
      </c>
      <c r="M48" s="7">
        <f t="shared" si="1"/>
        <v>11</v>
      </c>
      <c r="N48" s="7">
        <f t="shared" si="2"/>
        <v>1</v>
      </c>
      <c r="O48" s="7">
        <f t="shared" ca="1" si="3"/>
        <v>10</v>
      </c>
      <c r="P48" s="7"/>
    </row>
    <row r="49" spans="1:16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>
        <f t="shared" si="0"/>
        <v>2015</v>
      </c>
      <c r="M49" s="7">
        <f t="shared" si="1"/>
        <v>11</v>
      </c>
      <c r="N49" s="7">
        <f t="shared" si="2"/>
        <v>1</v>
      </c>
      <c r="O49" s="7">
        <f t="shared" ca="1" si="3"/>
        <v>10</v>
      </c>
      <c r="P49" s="7"/>
    </row>
    <row r="50" spans="1:16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>
        <f t="shared" si="0"/>
        <v>2015</v>
      </c>
      <c r="M50" s="7">
        <f t="shared" si="1"/>
        <v>12</v>
      </c>
      <c r="N50" s="7">
        <f t="shared" si="2"/>
        <v>1</v>
      </c>
      <c r="O50" s="7">
        <f t="shared" ca="1" si="3"/>
        <v>10</v>
      </c>
      <c r="P50" s="7"/>
    </row>
    <row r="51" spans="1:16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>
        <f t="shared" si="0"/>
        <v>2015</v>
      </c>
      <c r="M51" s="7">
        <f t="shared" si="1"/>
        <v>12</v>
      </c>
      <c r="N51" s="7">
        <f t="shared" si="2"/>
        <v>1</v>
      </c>
      <c r="O51" s="7">
        <f t="shared" ca="1" si="3"/>
        <v>10</v>
      </c>
      <c r="P51" s="7"/>
    </row>
    <row r="52" spans="1:16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 t="str">
        <f t="shared" si="0"/>
        <v>Unknown</v>
      </c>
      <c r="M52" s="7" t="str">
        <f t="shared" si="1"/>
        <v>Unknown</v>
      </c>
      <c r="N52" s="7" t="str">
        <f t="shared" si="2"/>
        <v>Unknown</v>
      </c>
      <c r="O52" s="7" t="str">
        <f t="shared" ca="1" si="3"/>
        <v>Unknown</v>
      </c>
      <c r="P52" s="7"/>
    </row>
    <row r="53" spans="1:16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>
        <f t="shared" si="0"/>
        <v>2015</v>
      </c>
      <c r="M53" s="7">
        <f t="shared" si="1"/>
        <v>12</v>
      </c>
      <c r="N53" s="7">
        <f t="shared" si="2"/>
        <v>1</v>
      </c>
      <c r="O53" s="7">
        <f t="shared" ca="1" si="3"/>
        <v>10</v>
      </c>
      <c r="P53" s="7"/>
    </row>
    <row r="54" spans="1:16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>
        <f t="shared" si="0"/>
        <v>2016</v>
      </c>
      <c r="M54" s="7">
        <f t="shared" si="1"/>
        <v>1</v>
      </c>
      <c r="N54" s="7">
        <f t="shared" si="2"/>
        <v>1</v>
      </c>
      <c r="O54" s="7">
        <f t="shared" ca="1" si="3"/>
        <v>10</v>
      </c>
      <c r="P54" s="7"/>
    </row>
    <row r="55" spans="1:16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>
        <f t="shared" si="0"/>
        <v>2016</v>
      </c>
      <c r="M55" s="7">
        <f t="shared" si="1"/>
        <v>1</v>
      </c>
      <c r="N55" s="7">
        <f t="shared" si="2"/>
        <v>1</v>
      </c>
      <c r="O55" s="7">
        <f t="shared" ca="1" si="3"/>
        <v>10</v>
      </c>
      <c r="P55" s="7"/>
    </row>
    <row r="56" spans="1:16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>
        <f t="shared" si="0"/>
        <v>2016</v>
      </c>
      <c r="M56" s="7">
        <f t="shared" si="1"/>
        <v>1</v>
      </c>
      <c r="N56" s="7">
        <f t="shared" si="2"/>
        <v>1</v>
      </c>
      <c r="O56" s="7">
        <f t="shared" ca="1" si="3"/>
        <v>10</v>
      </c>
      <c r="P56" s="7"/>
    </row>
    <row r="57" spans="1:16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>
        <f t="shared" si="0"/>
        <v>2016</v>
      </c>
      <c r="M57" s="7">
        <f t="shared" si="1"/>
        <v>1</v>
      </c>
      <c r="N57" s="7">
        <f t="shared" si="2"/>
        <v>1</v>
      </c>
      <c r="O57" s="7">
        <f t="shared" ca="1" si="3"/>
        <v>10</v>
      </c>
      <c r="P57" s="7"/>
    </row>
    <row r="58" spans="1:16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>
        <f t="shared" si="0"/>
        <v>2016</v>
      </c>
      <c r="M58" s="7">
        <f t="shared" si="1"/>
        <v>1</v>
      </c>
      <c r="N58" s="7">
        <f t="shared" si="2"/>
        <v>1</v>
      </c>
      <c r="O58" s="7">
        <f t="shared" ca="1" si="3"/>
        <v>10</v>
      </c>
      <c r="P58" s="7"/>
    </row>
    <row r="59" spans="1:16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>
        <f t="shared" si="0"/>
        <v>2016</v>
      </c>
      <c r="M59" s="7">
        <f t="shared" si="1"/>
        <v>2</v>
      </c>
      <c r="N59" s="7">
        <f t="shared" si="2"/>
        <v>1</v>
      </c>
      <c r="O59" s="7">
        <f t="shared" ca="1" si="3"/>
        <v>10</v>
      </c>
      <c r="P59" s="7"/>
    </row>
    <row r="60" spans="1:16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>
        <f t="shared" si="0"/>
        <v>2016</v>
      </c>
      <c r="M60" s="7">
        <f t="shared" si="1"/>
        <v>2</v>
      </c>
      <c r="N60" s="7">
        <f t="shared" si="2"/>
        <v>1</v>
      </c>
      <c r="O60" s="7">
        <f t="shared" ca="1" si="3"/>
        <v>10</v>
      </c>
      <c r="P60" s="7"/>
    </row>
    <row r="61" spans="1:16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>
        <f t="shared" si="0"/>
        <v>2016</v>
      </c>
      <c r="M61" s="7">
        <f t="shared" si="1"/>
        <v>2</v>
      </c>
      <c r="N61" s="7">
        <f t="shared" si="2"/>
        <v>1</v>
      </c>
      <c r="O61" s="7">
        <f t="shared" ca="1" si="3"/>
        <v>10</v>
      </c>
      <c r="P61" s="7"/>
    </row>
    <row r="62" spans="1:16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 t="str">
        <f t="shared" si="0"/>
        <v>Unknown</v>
      </c>
      <c r="M62" s="7" t="str">
        <f t="shared" si="1"/>
        <v>Unknown</v>
      </c>
      <c r="N62" s="7" t="str">
        <f t="shared" si="2"/>
        <v>Unknown</v>
      </c>
      <c r="O62" s="7" t="str">
        <f t="shared" ca="1" si="3"/>
        <v>Unknown</v>
      </c>
      <c r="P62" s="7"/>
    </row>
    <row r="63" spans="1:16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>
        <f t="shared" si="0"/>
        <v>2016</v>
      </c>
      <c r="M63" s="7">
        <f t="shared" si="1"/>
        <v>3</v>
      </c>
      <c r="N63" s="7">
        <f t="shared" si="2"/>
        <v>1</v>
      </c>
      <c r="O63" s="7">
        <f t="shared" ca="1" si="3"/>
        <v>10</v>
      </c>
      <c r="P63" s="7"/>
    </row>
    <row r="64" spans="1:16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>
        <f t="shared" si="0"/>
        <v>2016</v>
      </c>
      <c r="M64" s="7">
        <f t="shared" si="1"/>
        <v>3</v>
      </c>
      <c r="N64" s="7">
        <f t="shared" si="2"/>
        <v>1</v>
      </c>
      <c r="O64" s="7">
        <f t="shared" ca="1" si="3"/>
        <v>10</v>
      </c>
      <c r="P64" s="7"/>
    </row>
    <row r="65" spans="1:16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>
        <f t="shared" si="0"/>
        <v>2016</v>
      </c>
      <c r="M65" s="7">
        <f t="shared" si="1"/>
        <v>3</v>
      </c>
      <c r="N65" s="7">
        <f t="shared" si="2"/>
        <v>1</v>
      </c>
      <c r="O65" s="7">
        <f t="shared" ca="1" si="3"/>
        <v>10</v>
      </c>
      <c r="P65" s="7"/>
    </row>
    <row r="66" spans="1:16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>
        <f t="shared" si="0"/>
        <v>2016</v>
      </c>
      <c r="M66" s="7">
        <f t="shared" si="1"/>
        <v>3</v>
      </c>
      <c r="N66" s="7">
        <f t="shared" si="2"/>
        <v>1</v>
      </c>
      <c r="O66" s="7">
        <f t="shared" ca="1" si="3"/>
        <v>10</v>
      </c>
      <c r="P66" s="7"/>
    </row>
    <row r="67" spans="1:16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>
        <f t="shared" ref="L67:L130" si="4">IF(ISNUMBER(F67),YEAR(F67),"Unknown")</f>
        <v>2016</v>
      </c>
      <c r="M67" s="7">
        <f t="shared" ref="M67:M130" si="5">IF(ISNUMBER(F67),MONTH(F67),"Unknown")</f>
        <v>4</v>
      </c>
      <c r="N67" s="7">
        <f t="shared" ref="N67:N130" si="6">IF(ISNUMBER(F67),WEEKDAY(F67),"Unknown")</f>
        <v>1</v>
      </c>
      <c r="O67" s="7">
        <f t="shared" ca="1" si="3"/>
        <v>10</v>
      </c>
      <c r="P67" s="7"/>
    </row>
    <row r="68" spans="1:16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>
        <f t="shared" si="4"/>
        <v>2016</v>
      </c>
      <c r="M68" s="7">
        <f t="shared" si="5"/>
        <v>4</v>
      </c>
      <c r="N68" s="7">
        <f t="shared" si="6"/>
        <v>1</v>
      </c>
      <c r="O68" s="7">
        <f t="shared" ref="O68:O131" ca="1" si="7">IF(ISNUMBER(F68),DATEDIF(F68,TODAY(),"Y"),"Unknown")</f>
        <v>10</v>
      </c>
      <c r="P68" s="7"/>
    </row>
    <row r="69" spans="1:16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>
        <f t="shared" si="4"/>
        <v>2016</v>
      </c>
      <c r="M69" s="7">
        <f t="shared" si="5"/>
        <v>4</v>
      </c>
      <c r="N69" s="7">
        <f t="shared" si="6"/>
        <v>1</v>
      </c>
      <c r="O69" s="7">
        <f t="shared" ca="1" si="7"/>
        <v>10</v>
      </c>
      <c r="P69" s="7"/>
    </row>
    <row r="70" spans="1:16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>
        <f t="shared" si="4"/>
        <v>2016</v>
      </c>
      <c r="M70" s="7">
        <f t="shared" si="5"/>
        <v>4</v>
      </c>
      <c r="N70" s="7">
        <f t="shared" si="6"/>
        <v>1</v>
      </c>
      <c r="O70" s="7">
        <f t="shared" ca="1" si="7"/>
        <v>10</v>
      </c>
      <c r="P70" s="7"/>
    </row>
    <row r="71" spans="1:16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>
        <f t="shared" si="4"/>
        <v>2016</v>
      </c>
      <c r="M71" s="7">
        <f t="shared" si="5"/>
        <v>5</v>
      </c>
      <c r="N71" s="7">
        <f t="shared" si="6"/>
        <v>1</v>
      </c>
      <c r="O71" s="7">
        <f t="shared" ca="1" si="7"/>
        <v>10</v>
      </c>
      <c r="P71" s="7"/>
    </row>
    <row r="72" spans="1:16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>
        <f t="shared" si="4"/>
        <v>2016</v>
      </c>
      <c r="M72" s="7">
        <f t="shared" si="5"/>
        <v>5</v>
      </c>
      <c r="N72" s="7">
        <f t="shared" si="6"/>
        <v>1</v>
      </c>
      <c r="O72" s="7">
        <f t="shared" ca="1" si="7"/>
        <v>10</v>
      </c>
      <c r="P72" s="7"/>
    </row>
    <row r="73" spans="1:16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>
        <f t="shared" si="4"/>
        <v>2016</v>
      </c>
      <c r="M73" s="7">
        <f t="shared" si="5"/>
        <v>5</v>
      </c>
      <c r="N73" s="7">
        <f t="shared" si="6"/>
        <v>1</v>
      </c>
      <c r="O73" s="7">
        <f t="shared" ca="1" si="7"/>
        <v>10</v>
      </c>
      <c r="P73" s="7"/>
    </row>
    <row r="74" spans="1:16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>
        <f t="shared" si="4"/>
        <v>2016</v>
      </c>
      <c r="M74" s="7">
        <f t="shared" si="5"/>
        <v>5</v>
      </c>
      <c r="N74" s="7">
        <f t="shared" si="6"/>
        <v>1</v>
      </c>
      <c r="O74" s="7">
        <f t="shared" ca="1" si="7"/>
        <v>10</v>
      </c>
      <c r="P74" s="7"/>
    </row>
    <row r="75" spans="1:16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>
        <f t="shared" si="4"/>
        <v>2016</v>
      </c>
      <c r="M75" s="7">
        <f t="shared" si="5"/>
        <v>5</v>
      </c>
      <c r="N75" s="7">
        <f t="shared" si="6"/>
        <v>1</v>
      </c>
      <c r="O75" s="7">
        <f t="shared" ca="1" si="7"/>
        <v>10</v>
      </c>
      <c r="P75" s="7"/>
    </row>
    <row r="76" spans="1:16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>
        <f t="shared" si="4"/>
        <v>2016</v>
      </c>
      <c r="M76" s="7">
        <f t="shared" si="5"/>
        <v>6</v>
      </c>
      <c r="N76" s="7">
        <f t="shared" si="6"/>
        <v>1</v>
      </c>
      <c r="O76" s="7">
        <f t="shared" ca="1" si="7"/>
        <v>10</v>
      </c>
      <c r="P76" s="7"/>
    </row>
    <row r="77" spans="1:16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>
        <f t="shared" si="4"/>
        <v>2016</v>
      </c>
      <c r="M77" s="7">
        <f t="shared" si="5"/>
        <v>6</v>
      </c>
      <c r="N77" s="7">
        <f t="shared" si="6"/>
        <v>1</v>
      </c>
      <c r="O77" s="7">
        <f t="shared" ca="1" si="7"/>
        <v>10</v>
      </c>
      <c r="P77" s="7"/>
    </row>
    <row r="78" spans="1:16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>
        <f t="shared" si="4"/>
        <v>2016</v>
      </c>
      <c r="M78" s="7">
        <f t="shared" si="5"/>
        <v>6</v>
      </c>
      <c r="N78" s="7">
        <f t="shared" si="6"/>
        <v>1</v>
      </c>
      <c r="O78" s="7">
        <f t="shared" ca="1" si="7"/>
        <v>10</v>
      </c>
      <c r="P78" s="7"/>
    </row>
    <row r="79" spans="1:16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>
        <f t="shared" si="4"/>
        <v>2016</v>
      </c>
      <c r="M79" s="7">
        <f t="shared" si="5"/>
        <v>6</v>
      </c>
      <c r="N79" s="7">
        <f t="shared" si="6"/>
        <v>1</v>
      </c>
      <c r="O79" s="7">
        <f t="shared" ca="1" si="7"/>
        <v>10</v>
      </c>
      <c r="P79" s="7"/>
    </row>
    <row r="80" spans="1:16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>
        <f t="shared" si="4"/>
        <v>2016</v>
      </c>
      <c r="M80" s="7">
        <f t="shared" si="5"/>
        <v>7</v>
      </c>
      <c r="N80" s="7">
        <f t="shared" si="6"/>
        <v>1</v>
      </c>
      <c r="O80" s="7">
        <f t="shared" ca="1" si="7"/>
        <v>10</v>
      </c>
      <c r="P80" s="7"/>
    </row>
    <row r="81" spans="1:16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>
        <f t="shared" si="4"/>
        <v>2016</v>
      </c>
      <c r="M81" s="7">
        <f t="shared" si="5"/>
        <v>7</v>
      </c>
      <c r="N81" s="7">
        <f t="shared" si="6"/>
        <v>1</v>
      </c>
      <c r="O81" s="7">
        <f t="shared" ca="1" si="7"/>
        <v>10</v>
      </c>
      <c r="P81" s="7"/>
    </row>
    <row r="82" spans="1:16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 t="str">
        <f t="shared" si="4"/>
        <v>Unknown</v>
      </c>
      <c r="M82" s="7" t="str">
        <f t="shared" si="5"/>
        <v>Unknown</v>
      </c>
      <c r="N82" s="7" t="str">
        <f t="shared" si="6"/>
        <v>Unknown</v>
      </c>
      <c r="O82" s="7" t="str">
        <f t="shared" ca="1" si="7"/>
        <v>Unknown</v>
      </c>
      <c r="P82" s="7"/>
    </row>
    <row r="83" spans="1:16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>
        <f t="shared" si="4"/>
        <v>2016</v>
      </c>
      <c r="M83" s="7">
        <f t="shared" si="5"/>
        <v>7</v>
      </c>
      <c r="N83" s="7">
        <f t="shared" si="6"/>
        <v>1</v>
      </c>
      <c r="O83" s="7">
        <f t="shared" ca="1" si="7"/>
        <v>10</v>
      </c>
      <c r="P83" s="7"/>
    </row>
    <row r="84" spans="1:16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>
        <f t="shared" si="4"/>
        <v>2016</v>
      </c>
      <c r="M84" s="7">
        <f t="shared" si="5"/>
        <v>7</v>
      </c>
      <c r="N84" s="7">
        <f t="shared" si="6"/>
        <v>1</v>
      </c>
      <c r="O84" s="7">
        <f t="shared" ca="1" si="7"/>
        <v>10</v>
      </c>
      <c r="P84" s="7"/>
    </row>
    <row r="85" spans="1:16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>
        <f t="shared" si="4"/>
        <v>2016</v>
      </c>
      <c r="M85" s="7">
        <f t="shared" si="5"/>
        <v>8</v>
      </c>
      <c r="N85" s="7">
        <f t="shared" si="6"/>
        <v>1</v>
      </c>
      <c r="O85" s="7">
        <f t="shared" ca="1" si="7"/>
        <v>10</v>
      </c>
      <c r="P85" s="7"/>
    </row>
    <row r="86" spans="1:16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>
        <f t="shared" si="4"/>
        <v>2016</v>
      </c>
      <c r="M86" s="7">
        <f t="shared" si="5"/>
        <v>8</v>
      </c>
      <c r="N86" s="7">
        <f t="shared" si="6"/>
        <v>1</v>
      </c>
      <c r="O86" s="7">
        <f t="shared" ca="1" si="7"/>
        <v>10</v>
      </c>
      <c r="P86" s="7"/>
    </row>
    <row r="87" spans="1:16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>
        <f t="shared" si="4"/>
        <v>2016</v>
      </c>
      <c r="M87" s="7">
        <f t="shared" si="5"/>
        <v>8</v>
      </c>
      <c r="N87" s="7">
        <f t="shared" si="6"/>
        <v>1</v>
      </c>
      <c r="O87" s="7">
        <f t="shared" ca="1" si="7"/>
        <v>10</v>
      </c>
      <c r="P87" s="7"/>
    </row>
    <row r="88" spans="1:16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>
        <f t="shared" si="4"/>
        <v>2016</v>
      </c>
      <c r="M88" s="7">
        <f t="shared" si="5"/>
        <v>8</v>
      </c>
      <c r="N88" s="7">
        <f t="shared" si="6"/>
        <v>1</v>
      </c>
      <c r="O88" s="7">
        <f t="shared" ca="1" si="7"/>
        <v>10</v>
      </c>
      <c r="P88" s="7"/>
    </row>
    <row r="89" spans="1:16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>
        <f t="shared" si="4"/>
        <v>2016</v>
      </c>
      <c r="M89" s="7">
        <f t="shared" si="5"/>
        <v>9</v>
      </c>
      <c r="N89" s="7">
        <f t="shared" si="6"/>
        <v>1</v>
      </c>
      <c r="O89" s="7">
        <f t="shared" ca="1" si="7"/>
        <v>10</v>
      </c>
      <c r="P89" s="7"/>
    </row>
    <row r="90" spans="1:16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>
        <f t="shared" si="4"/>
        <v>2016</v>
      </c>
      <c r="M90" s="7">
        <f t="shared" si="5"/>
        <v>9</v>
      </c>
      <c r="N90" s="7">
        <f t="shared" si="6"/>
        <v>1</v>
      </c>
      <c r="O90" s="7">
        <f t="shared" ca="1" si="7"/>
        <v>10</v>
      </c>
      <c r="P90" s="7"/>
    </row>
    <row r="91" spans="1:16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>
        <f t="shared" si="4"/>
        <v>2016</v>
      </c>
      <c r="M91" s="7">
        <f t="shared" si="5"/>
        <v>9</v>
      </c>
      <c r="N91" s="7">
        <f t="shared" si="6"/>
        <v>1</v>
      </c>
      <c r="O91" s="7">
        <f t="shared" ca="1" si="7"/>
        <v>10</v>
      </c>
      <c r="P91" s="7"/>
    </row>
    <row r="92" spans="1:16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>
        <f t="shared" si="4"/>
        <v>2016</v>
      </c>
      <c r="M92" s="7">
        <f t="shared" si="5"/>
        <v>9</v>
      </c>
      <c r="N92" s="7">
        <f t="shared" si="6"/>
        <v>1</v>
      </c>
      <c r="O92" s="7">
        <f t="shared" ca="1" si="7"/>
        <v>9</v>
      </c>
      <c r="P92" s="7"/>
    </row>
    <row r="93" spans="1:16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>
        <f t="shared" si="4"/>
        <v>2016</v>
      </c>
      <c r="M93" s="7">
        <f t="shared" si="5"/>
        <v>10</v>
      </c>
      <c r="N93" s="7">
        <f t="shared" si="6"/>
        <v>1</v>
      </c>
      <c r="O93" s="7">
        <f t="shared" ca="1" si="7"/>
        <v>9</v>
      </c>
      <c r="P93" s="7"/>
    </row>
    <row r="94" spans="1:16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>
        <f t="shared" si="4"/>
        <v>2016</v>
      </c>
      <c r="M94" s="7">
        <f t="shared" si="5"/>
        <v>10</v>
      </c>
      <c r="N94" s="7">
        <f t="shared" si="6"/>
        <v>1</v>
      </c>
      <c r="O94" s="7">
        <f t="shared" ca="1" si="7"/>
        <v>9</v>
      </c>
      <c r="P94" s="7"/>
    </row>
    <row r="95" spans="1:16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>
        <f t="shared" si="4"/>
        <v>2016</v>
      </c>
      <c r="M95" s="7">
        <f t="shared" si="5"/>
        <v>10</v>
      </c>
      <c r="N95" s="7">
        <f t="shared" si="6"/>
        <v>1</v>
      </c>
      <c r="O95" s="7">
        <f t="shared" ca="1" si="7"/>
        <v>9</v>
      </c>
      <c r="P95" s="7"/>
    </row>
    <row r="96" spans="1:16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>
        <f t="shared" si="4"/>
        <v>2016</v>
      </c>
      <c r="M96" s="7">
        <f t="shared" si="5"/>
        <v>10</v>
      </c>
      <c r="N96" s="7">
        <f t="shared" si="6"/>
        <v>1</v>
      </c>
      <c r="O96" s="7">
        <f t="shared" ca="1" si="7"/>
        <v>9</v>
      </c>
      <c r="P96" s="7"/>
    </row>
    <row r="97" spans="1:16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>
        <f t="shared" si="4"/>
        <v>2016</v>
      </c>
      <c r="M97" s="7">
        <f t="shared" si="5"/>
        <v>10</v>
      </c>
      <c r="N97" s="7">
        <f t="shared" si="6"/>
        <v>1</v>
      </c>
      <c r="O97" s="7">
        <f t="shared" ca="1" si="7"/>
        <v>9</v>
      </c>
      <c r="P97" s="7"/>
    </row>
    <row r="98" spans="1:16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>
        <f t="shared" si="4"/>
        <v>2016</v>
      </c>
      <c r="M98" s="7">
        <f t="shared" si="5"/>
        <v>11</v>
      </c>
      <c r="N98" s="7">
        <f t="shared" si="6"/>
        <v>1</v>
      </c>
      <c r="O98" s="7">
        <f t="shared" ca="1" si="7"/>
        <v>9</v>
      </c>
      <c r="P98" s="7"/>
    </row>
    <row r="99" spans="1:16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>
        <f t="shared" si="4"/>
        <v>2016</v>
      </c>
      <c r="M99" s="7">
        <f t="shared" si="5"/>
        <v>11</v>
      </c>
      <c r="N99" s="7">
        <f t="shared" si="6"/>
        <v>1</v>
      </c>
      <c r="O99" s="7">
        <f t="shared" ca="1" si="7"/>
        <v>9</v>
      </c>
      <c r="P99" s="7"/>
    </row>
    <row r="100" spans="1:16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>
        <f t="shared" si="4"/>
        <v>2016</v>
      </c>
      <c r="M100" s="7">
        <f t="shared" si="5"/>
        <v>11</v>
      </c>
      <c r="N100" s="7">
        <f t="shared" si="6"/>
        <v>1</v>
      </c>
      <c r="O100" s="7">
        <f t="shared" ca="1" si="7"/>
        <v>9</v>
      </c>
      <c r="P100" s="7"/>
    </row>
    <row r="101" spans="1:16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>
        <f t="shared" si="4"/>
        <v>2016</v>
      </c>
      <c r="M101" s="7">
        <f t="shared" si="5"/>
        <v>11</v>
      </c>
      <c r="N101" s="7">
        <f t="shared" si="6"/>
        <v>1</v>
      </c>
      <c r="O101" s="7">
        <f t="shared" ca="1" si="7"/>
        <v>9</v>
      </c>
      <c r="P101" s="7"/>
    </row>
    <row r="102" spans="1:16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>
        <f t="shared" si="4"/>
        <v>2016</v>
      </c>
      <c r="M102" s="7">
        <f t="shared" si="5"/>
        <v>12</v>
      </c>
      <c r="N102" s="7">
        <f t="shared" si="6"/>
        <v>1</v>
      </c>
      <c r="O102" s="7">
        <f t="shared" ca="1" si="7"/>
        <v>9</v>
      </c>
      <c r="P102" s="7"/>
    </row>
    <row r="103" spans="1:16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>
        <f t="shared" si="4"/>
        <v>2016</v>
      </c>
      <c r="M103" s="7">
        <f t="shared" si="5"/>
        <v>12</v>
      </c>
      <c r="N103" s="7">
        <f t="shared" si="6"/>
        <v>1</v>
      </c>
      <c r="O103" s="7">
        <f t="shared" ca="1" si="7"/>
        <v>9</v>
      </c>
      <c r="P103" s="7"/>
    </row>
    <row r="104" spans="1:16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>
        <f t="shared" si="4"/>
        <v>2016</v>
      </c>
      <c r="M104" s="7">
        <f t="shared" si="5"/>
        <v>12</v>
      </c>
      <c r="N104" s="7">
        <f t="shared" si="6"/>
        <v>1</v>
      </c>
      <c r="O104" s="7">
        <f t="shared" ca="1" si="7"/>
        <v>9</v>
      </c>
      <c r="P104" s="7"/>
    </row>
    <row r="105" spans="1:16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>
        <f t="shared" si="4"/>
        <v>2016</v>
      </c>
      <c r="M105" s="7">
        <f t="shared" si="5"/>
        <v>12</v>
      </c>
      <c r="N105" s="7">
        <f t="shared" si="6"/>
        <v>1</v>
      </c>
      <c r="O105" s="7">
        <f t="shared" ca="1" si="7"/>
        <v>9</v>
      </c>
      <c r="P105" s="7"/>
    </row>
    <row r="106" spans="1:16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>
        <f t="shared" si="4"/>
        <v>2017</v>
      </c>
      <c r="M106" s="7">
        <f t="shared" si="5"/>
        <v>1</v>
      </c>
      <c r="N106" s="7">
        <f t="shared" si="6"/>
        <v>1</v>
      </c>
      <c r="O106" s="7">
        <f t="shared" ca="1" si="7"/>
        <v>9</v>
      </c>
      <c r="P106" s="7"/>
    </row>
    <row r="107" spans="1:16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>
        <f t="shared" si="4"/>
        <v>2017</v>
      </c>
      <c r="M107" s="7">
        <f t="shared" si="5"/>
        <v>1</v>
      </c>
      <c r="N107" s="7">
        <f t="shared" si="6"/>
        <v>1</v>
      </c>
      <c r="O107" s="7">
        <f t="shared" ca="1" si="7"/>
        <v>9</v>
      </c>
      <c r="P107" s="7"/>
    </row>
    <row r="108" spans="1:16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>
        <f t="shared" si="4"/>
        <v>2017</v>
      </c>
      <c r="M108" s="7">
        <f t="shared" si="5"/>
        <v>1</v>
      </c>
      <c r="N108" s="7">
        <f t="shared" si="6"/>
        <v>1</v>
      </c>
      <c r="O108" s="7">
        <f t="shared" ca="1" si="7"/>
        <v>9</v>
      </c>
      <c r="P108" s="7"/>
    </row>
    <row r="109" spans="1:16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>
        <f t="shared" si="4"/>
        <v>2017</v>
      </c>
      <c r="M109" s="7">
        <f t="shared" si="5"/>
        <v>1</v>
      </c>
      <c r="N109" s="7">
        <f t="shared" si="6"/>
        <v>1</v>
      </c>
      <c r="O109" s="7">
        <f t="shared" ca="1" si="7"/>
        <v>9</v>
      </c>
      <c r="P109" s="7"/>
    </row>
    <row r="110" spans="1:16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>
        <f t="shared" si="4"/>
        <v>2017</v>
      </c>
      <c r="M110" s="7">
        <f t="shared" si="5"/>
        <v>1</v>
      </c>
      <c r="N110" s="7">
        <f t="shared" si="6"/>
        <v>1</v>
      </c>
      <c r="O110" s="7">
        <f t="shared" ca="1" si="7"/>
        <v>9</v>
      </c>
      <c r="P110" s="7"/>
    </row>
    <row r="111" spans="1:16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>
        <f t="shared" si="4"/>
        <v>2017</v>
      </c>
      <c r="M111" s="7">
        <f t="shared" si="5"/>
        <v>2</v>
      </c>
      <c r="N111" s="7">
        <f t="shared" si="6"/>
        <v>1</v>
      </c>
      <c r="O111" s="7">
        <f t="shared" ca="1" si="7"/>
        <v>9</v>
      </c>
      <c r="P111" s="7"/>
    </row>
    <row r="112" spans="1:16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 t="str">
        <f t="shared" si="4"/>
        <v>Unknown</v>
      </c>
      <c r="M112" s="7" t="str">
        <f t="shared" si="5"/>
        <v>Unknown</v>
      </c>
      <c r="N112" s="7" t="str">
        <f t="shared" si="6"/>
        <v>Unknown</v>
      </c>
      <c r="O112" s="7" t="str">
        <f t="shared" ca="1" si="7"/>
        <v>Unknown</v>
      </c>
      <c r="P112" s="7"/>
    </row>
    <row r="113" spans="1:16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>
        <f t="shared" si="4"/>
        <v>2017</v>
      </c>
      <c r="M113" s="7">
        <f t="shared" si="5"/>
        <v>2</v>
      </c>
      <c r="N113" s="7">
        <f t="shared" si="6"/>
        <v>1</v>
      </c>
      <c r="O113" s="7">
        <f t="shared" ca="1" si="7"/>
        <v>9</v>
      </c>
      <c r="P113" s="7"/>
    </row>
    <row r="114" spans="1:16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>
        <f t="shared" si="4"/>
        <v>2017</v>
      </c>
      <c r="M114" s="7">
        <f t="shared" si="5"/>
        <v>2</v>
      </c>
      <c r="N114" s="7">
        <f t="shared" si="6"/>
        <v>1</v>
      </c>
      <c r="O114" s="7">
        <f t="shared" ca="1" si="7"/>
        <v>9</v>
      </c>
      <c r="P114" s="7"/>
    </row>
    <row r="115" spans="1:16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>
        <f t="shared" si="4"/>
        <v>2017</v>
      </c>
      <c r="M115" s="7">
        <f t="shared" si="5"/>
        <v>3</v>
      </c>
      <c r="N115" s="7">
        <f t="shared" si="6"/>
        <v>1</v>
      </c>
      <c r="O115" s="7">
        <f t="shared" ca="1" si="7"/>
        <v>9</v>
      </c>
      <c r="P115" s="7"/>
    </row>
    <row r="116" spans="1:16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>
        <f t="shared" si="4"/>
        <v>2017</v>
      </c>
      <c r="M116" s="7">
        <f t="shared" si="5"/>
        <v>3</v>
      </c>
      <c r="N116" s="7">
        <f t="shared" si="6"/>
        <v>1</v>
      </c>
      <c r="O116" s="7">
        <f t="shared" ca="1" si="7"/>
        <v>9</v>
      </c>
      <c r="P116" s="7"/>
    </row>
    <row r="117" spans="1:16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>
        <f t="shared" si="4"/>
        <v>2017</v>
      </c>
      <c r="M117" s="7">
        <f t="shared" si="5"/>
        <v>3</v>
      </c>
      <c r="N117" s="7">
        <f t="shared" si="6"/>
        <v>1</v>
      </c>
      <c r="O117" s="7">
        <f t="shared" ca="1" si="7"/>
        <v>9</v>
      </c>
      <c r="P117" s="7"/>
    </row>
    <row r="118" spans="1:16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>
        <f t="shared" si="4"/>
        <v>2017</v>
      </c>
      <c r="M118" s="7">
        <f t="shared" si="5"/>
        <v>3</v>
      </c>
      <c r="N118" s="7">
        <f t="shared" si="6"/>
        <v>1</v>
      </c>
      <c r="O118" s="7">
        <f t="shared" ca="1" si="7"/>
        <v>9</v>
      </c>
      <c r="P118" s="7"/>
    </row>
    <row r="119" spans="1:16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>
        <f t="shared" si="4"/>
        <v>2017</v>
      </c>
      <c r="M119" s="7">
        <f t="shared" si="5"/>
        <v>4</v>
      </c>
      <c r="N119" s="7">
        <f t="shared" si="6"/>
        <v>1</v>
      </c>
      <c r="O119" s="7">
        <f t="shared" ca="1" si="7"/>
        <v>9</v>
      </c>
      <c r="P119" s="7"/>
    </row>
    <row r="120" spans="1:16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>
        <f t="shared" si="4"/>
        <v>2017</v>
      </c>
      <c r="M120" s="7">
        <f t="shared" si="5"/>
        <v>4</v>
      </c>
      <c r="N120" s="7">
        <f t="shared" si="6"/>
        <v>1</v>
      </c>
      <c r="O120" s="7">
        <f t="shared" ca="1" si="7"/>
        <v>9</v>
      </c>
      <c r="P120" s="7"/>
    </row>
    <row r="121" spans="1:16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>
        <f t="shared" si="4"/>
        <v>2017</v>
      </c>
      <c r="M121" s="7">
        <f t="shared" si="5"/>
        <v>4</v>
      </c>
      <c r="N121" s="7">
        <f t="shared" si="6"/>
        <v>1</v>
      </c>
      <c r="O121" s="7">
        <f t="shared" ca="1" si="7"/>
        <v>9</v>
      </c>
      <c r="P121" s="7"/>
    </row>
    <row r="122" spans="1:16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 t="str">
        <f t="shared" si="4"/>
        <v>Unknown</v>
      </c>
      <c r="M122" s="7" t="str">
        <f t="shared" si="5"/>
        <v>Unknown</v>
      </c>
      <c r="N122" s="7" t="str">
        <f t="shared" si="6"/>
        <v>Unknown</v>
      </c>
      <c r="O122" s="7" t="str">
        <f t="shared" ca="1" si="7"/>
        <v>Unknown</v>
      </c>
      <c r="P122" s="7"/>
    </row>
    <row r="123" spans="1:16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>
        <f t="shared" si="4"/>
        <v>2017</v>
      </c>
      <c r="M123" s="7">
        <f t="shared" si="5"/>
        <v>4</v>
      </c>
      <c r="N123" s="7">
        <f t="shared" si="6"/>
        <v>1</v>
      </c>
      <c r="O123" s="7">
        <f t="shared" ca="1" si="7"/>
        <v>9</v>
      </c>
      <c r="P123" s="7"/>
    </row>
    <row r="124" spans="1:16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>
        <f t="shared" si="4"/>
        <v>2017</v>
      </c>
      <c r="M124" s="7">
        <f t="shared" si="5"/>
        <v>5</v>
      </c>
      <c r="N124" s="7">
        <f t="shared" si="6"/>
        <v>1</v>
      </c>
      <c r="O124" s="7">
        <f t="shared" ca="1" si="7"/>
        <v>9</v>
      </c>
      <c r="P124" s="7"/>
    </row>
    <row r="125" spans="1:16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>
        <f t="shared" si="4"/>
        <v>2017</v>
      </c>
      <c r="M125" s="7">
        <f t="shared" si="5"/>
        <v>5</v>
      </c>
      <c r="N125" s="7">
        <f t="shared" si="6"/>
        <v>1</v>
      </c>
      <c r="O125" s="7">
        <f t="shared" ca="1" si="7"/>
        <v>9</v>
      </c>
      <c r="P125" s="7"/>
    </row>
    <row r="126" spans="1:16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>
        <f t="shared" si="4"/>
        <v>2017</v>
      </c>
      <c r="M126" s="7">
        <f t="shared" si="5"/>
        <v>5</v>
      </c>
      <c r="N126" s="7">
        <f t="shared" si="6"/>
        <v>1</v>
      </c>
      <c r="O126" s="7">
        <f t="shared" ca="1" si="7"/>
        <v>9</v>
      </c>
      <c r="P126" s="7"/>
    </row>
    <row r="127" spans="1:16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>
        <f t="shared" si="4"/>
        <v>2017</v>
      </c>
      <c r="M127" s="7">
        <f t="shared" si="5"/>
        <v>5</v>
      </c>
      <c r="N127" s="7">
        <f t="shared" si="6"/>
        <v>1</v>
      </c>
      <c r="O127" s="7">
        <f t="shared" ca="1" si="7"/>
        <v>9</v>
      </c>
      <c r="P127" s="7"/>
    </row>
    <row r="128" spans="1:16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>
        <f t="shared" si="4"/>
        <v>2017</v>
      </c>
      <c r="M128" s="7">
        <f t="shared" si="5"/>
        <v>6</v>
      </c>
      <c r="N128" s="7">
        <f t="shared" si="6"/>
        <v>1</v>
      </c>
      <c r="O128" s="7">
        <f t="shared" ca="1" si="7"/>
        <v>9</v>
      </c>
      <c r="P128" s="7"/>
    </row>
    <row r="129" spans="1:16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>
        <f t="shared" si="4"/>
        <v>2017</v>
      </c>
      <c r="M129" s="7">
        <f t="shared" si="5"/>
        <v>6</v>
      </c>
      <c r="N129" s="7">
        <f t="shared" si="6"/>
        <v>1</v>
      </c>
      <c r="O129" s="7">
        <f t="shared" ca="1" si="7"/>
        <v>9</v>
      </c>
      <c r="P129" s="7"/>
    </row>
    <row r="130" spans="1:16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>
        <f t="shared" si="4"/>
        <v>2017</v>
      </c>
      <c r="M130" s="7">
        <f t="shared" si="5"/>
        <v>6</v>
      </c>
      <c r="N130" s="7">
        <f t="shared" si="6"/>
        <v>1</v>
      </c>
      <c r="O130" s="7">
        <f t="shared" ca="1" si="7"/>
        <v>9</v>
      </c>
      <c r="P130" s="7"/>
    </row>
    <row r="131" spans="1:16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>
        <f t="shared" ref="L131:L151" si="8">IF(ISNUMBER(F131),YEAR(F131),"Unknown")</f>
        <v>2017</v>
      </c>
      <c r="M131" s="7">
        <f t="shared" ref="M131:M151" si="9">IF(ISNUMBER(F131),MONTH(F131),"Unknown")</f>
        <v>6</v>
      </c>
      <c r="N131" s="7">
        <f t="shared" ref="N131:N151" si="10">IF(ISNUMBER(F131),WEEKDAY(F131),"Unknown")</f>
        <v>1</v>
      </c>
      <c r="O131" s="7">
        <f t="shared" ca="1" si="7"/>
        <v>9</v>
      </c>
      <c r="P131" s="7"/>
    </row>
    <row r="132" spans="1:16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 t="str">
        <f t="shared" si="8"/>
        <v>Unknown</v>
      </c>
      <c r="M132" s="7" t="str">
        <f t="shared" si="9"/>
        <v>Unknown</v>
      </c>
      <c r="N132" s="7" t="str">
        <f t="shared" si="10"/>
        <v>Unknown</v>
      </c>
      <c r="O132" s="7" t="str">
        <f t="shared" ref="O132:O151" ca="1" si="11">IF(ISNUMBER(F132),DATEDIF(F132,TODAY(),"Y"),"Unknown")</f>
        <v>Unknown</v>
      </c>
      <c r="P132" s="7"/>
    </row>
    <row r="133" spans="1:16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>
        <f t="shared" si="8"/>
        <v>2017</v>
      </c>
      <c r="M133" s="7">
        <f t="shared" si="9"/>
        <v>7</v>
      </c>
      <c r="N133" s="7">
        <f t="shared" si="10"/>
        <v>1</v>
      </c>
      <c r="O133" s="7">
        <f t="shared" ca="1" si="11"/>
        <v>9</v>
      </c>
      <c r="P133" s="7"/>
    </row>
    <row r="134" spans="1:16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>
        <f t="shared" si="8"/>
        <v>2017</v>
      </c>
      <c r="M134" s="7">
        <f t="shared" si="9"/>
        <v>7</v>
      </c>
      <c r="N134" s="7">
        <f t="shared" si="10"/>
        <v>1</v>
      </c>
      <c r="O134" s="7">
        <f t="shared" ca="1" si="11"/>
        <v>9</v>
      </c>
      <c r="P134" s="7"/>
    </row>
    <row r="135" spans="1:16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>
        <f t="shared" si="8"/>
        <v>2017</v>
      </c>
      <c r="M135" s="7">
        <f t="shared" si="9"/>
        <v>7</v>
      </c>
      <c r="N135" s="7">
        <f t="shared" si="10"/>
        <v>1</v>
      </c>
      <c r="O135" s="7">
        <f t="shared" ca="1" si="11"/>
        <v>9</v>
      </c>
      <c r="P135" s="7"/>
    </row>
    <row r="136" spans="1:16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>
        <f t="shared" si="8"/>
        <v>2017</v>
      </c>
      <c r="M136" s="7">
        <f t="shared" si="9"/>
        <v>7</v>
      </c>
      <c r="N136" s="7">
        <f t="shared" si="10"/>
        <v>1</v>
      </c>
      <c r="O136" s="7">
        <f t="shared" ca="1" si="11"/>
        <v>9</v>
      </c>
      <c r="P136" s="7"/>
    </row>
    <row r="137" spans="1:16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>
        <f t="shared" si="8"/>
        <v>2017</v>
      </c>
      <c r="M137" s="7">
        <f t="shared" si="9"/>
        <v>8</v>
      </c>
      <c r="N137" s="7">
        <f t="shared" si="10"/>
        <v>1</v>
      </c>
      <c r="O137" s="7">
        <f t="shared" ca="1" si="11"/>
        <v>9</v>
      </c>
      <c r="P137" s="7"/>
    </row>
    <row r="138" spans="1:16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>
        <f t="shared" si="8"/>
        <v>2017</v>
      </c>
      <c r="M138" s="7">
        <f t="shared" si="9"/>
        <v>8</v>
      </c>
      <c r="N138" s="7">
        <f t="shared" si="10"/>
        <v>1</v>
      </c>
      <c r="O138" s="7">
        <f t="shared" ca="1" si="11"/>
        <v>9</v>
      </c>
      <c r="P138" s="7"/>
    </row>
    <row r="139" spans="1:16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>
        <f t="shared" si="8"/>
        <v>2017</v>
      </c>
      <c r="M139" s="7">
        <f t="shared" si="9"/>
        <v>8</v>
      </c>
      <c r="N139" s="7">
        <f t="shared" si="10"/>
        <v>1</v>
      </c>
      <c r="O139" s="7">
        <f t="shared" ca="1" si="11"/>
        <v>9</v>
      </c>
      <c r="P139" s="7"/>
    </row>
    <row r="140" spans="1:16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>
        <f t="shared" si="8"/>
        <v>2017</v>
      </c>
      <c r="M140" s="7">
        <f t="shared" si="9"/>
        <v>8</v>
      </c>
      <c r="N140" s="7">
        <f t="shared" si="10"/>
        <v>1</v>
      </c>
      <c r="O140" s="7">
        <f t="shared" ca="1" si="11"/>
        <v>9</v>
      </c>
      <c r="P140" s="7"/>
    </row>
    <row r="141" spans="1:16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>
        <f t="shared" si="8"/>
        <v>2017</v>
      </c>
      <c r="M141" s="7">
        <f t="shared" si="9"/>
        <v>9</v>
      </c>
      <c r="N141" s="7">
        <f t="shared" si="10"/>
        <v>1</v>
      </c>
      <c r="O141" s="7">
        <f t="shared" ca="1" si="11"/>
        <v>9</v>
      </c>
      <c r="P141" s="7"/>
    </row>
    <row r="142" spans="1:16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>
        <f t="shared" si="8"/>
        <v>2017</v>
      </c>
      <c r="M142" s="7">
        <f t="shared" si="9"/>
        <v>9</v>
      </c>
      <c r="N142" s="7">
        <f t="shared" si="10"/>
        <v>1</v>
      </c>
      <c r="O142" s="7">
        <f t="shared" ca="1" si="11"/>
        <v>9</v>
      </c>
      <c r="P142" s="7"/>
    </row>
    <row r="143" spans="1:16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>
        <f t="shared" si="8"/>
        <v>2017</v>
      </c>
      <c r="M143" s="7">
        <f t="shared" si="9"/>
        <v>9</v>
      </c>
      <c r="N143" s="7">
        <f t="shared" si="10"/>
        <v>1</v>
      </c>
      <c r="O143" s="7">
        <f t="shared" ca="1" si="11"/>
        <v>9</v>
      </c>
      <c r="P143" s="7"/>
    </row>
    <row r="144" spans="1:16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>
        <f t="shared" si="8"/>
        <v>2017</v>
      </c>
      <c r="M144" s="7">
        <f t="shared" si="9"/>
        <v>9</v>
      </c>
      <c r="N144" s="7">
        <f t="shared" si="10"/>
        <v>1</v>
      </c>
      <c r="O144" s="7">
        <f t="shared" ca="1" si="11"/>
        <v>9</v>
      </c>
      <c r="P144" s="7"/>
    </row>
    <row r="145" spans="1:16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>
        <f t="shared" si="8"/>
        <v>2017</v>
      </c>
      <c r="M145" s="7">
        <f t="shared" si="9"/>
        <v>10</v>
      </c>
      <c r="N145" s="7">
        <f t="shared" si="10"/>
        <v>1</v>
      </c>
      <c r="O145" s="7">
        <f t="shared" ca="1" si="11"/>
        <v>8</v>
      </c>
      <c r="P145" s="7"/>
    </row>
    <row r="146" spans="1:16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>
        <f t="shared" si="8"/>
        <v>2017</v>
      </c>
      <c r="M146" s="7">
        <f t="shared" si="9"/>
        <v>10</v>
      </c>
      <c r="N146" s="7">
        <f t="shared" si="10"/>
        <v>1</v>
      </c>
      <c r="O146" s="7">
        <f t="shared" ca="1" si="11"/>
        <v>8</v>
      </c>
      <c r="P146" s="7"/>
    </row>
    <row r="147" spans="1:16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>
        <f t="shared" si="8"/>
        <v>2017</v>
      </c>
      <c r="M147" s="7">
        <f t="shared" si="9"/>
        <v>10</v>
      </c>
      <c r="N147" s="7">
        <f t="shared" si="10"/>
        <v>1</v>
      </c>
      <c r="O147" s="7">
        <f t="shared" ca="1" si="11"/>
        <v>8</v>
      </c>
      <c r="P147" s="7"/>
    </row>
    <row r="148" spans="1:16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>
        <f t="shared" si="8"/>
        <v>2017</v>
      </c>
      <c r="M148" s="7">
        <f t="shared" si="9"/>
        <v>10</v>
      </c>
      <c r="N148" s="7">
        <f t="shared" si="10"/>
        <v>1</v>
      </c>
      <c r="O148" s="7">
        <f t="shared" ca="1" si="11"/>
        <v>8</v>
      </c>
      <c r="P148" s="7"/>
    </row>
    <row r="149" spans="1:16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>
        <f t="shared" si="8"/>
        <v>2017</v>
      </c>
      <c r="M149" s="7">
        <f t="shared" si="9"/>
        <v>10</v>
      </c>
      <c r="N149" s="7">
        <f t="shared" si="10"/>
        <v>1</v>
      </c>
      <c r="O149" s="7">
        <f t="shared" ca="1" si="11"/>
        <v>8</v>
      </c>
      <c r="P149" s="7"/>
    </row>
    <row r="150" spans="1:16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>
        <f t="shared" si="8"/>
        <v>2017</v>
      </c>
      <c r="M150" s="7">
        <f t="shared" si="9"/>
        <v>11</v>
      </c>
      <c r="N150" s="7">
        <f t="shared" si="10"/>
        <v>1</v>
      </c>
      <c r="O150" s="7">
        <f t="shared" ca="1" si="11"/>
        <v>8</v>
      </c>
      <c r="P150" s="7"/>
    </row>
    <row r="151" spans="1:16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>
        <f t="shared" si="8"/>
        <v>2017</v>
      </c>
      <c r="M151" s="7">
        <f t="shared" si="9"/>
        <v>11</v>
      </c>
      <c r="N151" s="7">
        <f t="shared" si="10"/>
        <v>1</v>
      </c>
      <c r="O151" s="7">
        <f t="shared" ca="1" si="11"/>
        <v>8</v>
      </c>
      <c r="P151" s="7"/>
    </row>
  </sheetData>
  <autoFilter ref="A1:I151" xr:uid="{09FA7BD8-726D-44B6-A71F-FB25F49C2F50}">
    <sortState xmlns:xlrd2="http://schemas.microsoft.com/office/spreadsheetml/2017/richdata2" ref="A2:I151">
      <sortCondition ref="A1:A151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64F4-51BA-4F7C-B1AF-D59B121720B9}">
  <sheetPr>
    <tabColor theme="8"/>
  </sheetPr>
  <dimension ref="I4:K9"/>
  <sheetViews>
    <sheetView tabSelected="1" topLeftCell="B1" workbookViewId="0">
      <selection activeCell="L7" sqref="L7"/>
    </sheetView>
  </sheetViews>
  <sheetFormatPr defaultRowHeight="14.4" x14ac:dyDescent="0.3"/>
  <cols>
    <col min="2" max="9" width="8.88671875" customWidth="1"/>
    <col min="10" max="10" width="118.6640625" customWidth="1"/>
  </cols>
  <sheetData>
    <row r="4" spans="10:11" ht="15.6" x14ac:dyDescent="0.3">
      <c r="J4" s="4" t="s">
        <v>407</v>
      </c>
      <c r="K4" s="44"/>
    </row>
    <row r="5" spans="10:11" ht="15.6" x14ac:dyDescent="0.3">
      <c r="J5" s="4" t="s">
        <v>402</v>
      </c>
    </row>
    <row r="6" spans="10:11" ht="30" customHeight="1" x14ac:dyDescent="0.3">
      <c r="J6" s="45" t="s">
        <v>403</v>
      </c>
    </row>
    <row r="7" spans="10:11" ht="30" customHeight="1" x14ac:dyDescent="0.3">
      <c r="J7" s="45" t="s">
        <v>404</v>
      </c>
    </row>
    <row r="8" spans="10:11" ht="30" customHeight="1" x14ac:dyDescent="0.3">
      <c r="J8" s="45" t="s">
        <v>405</v>
      </c>
    </row>
    <row r="9" spans="10:11" ht="30" customHeight="1" x14ac:dyDescent="0.3">
      <c r="J9" s="45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  <vt:lpstr>Day-9 Clean Dataset</vt:lpstr>
      <vt:lpstr>Day-9 Observations</vt:lpstr>
      <vt:lpstr>Day-10 Clean Dataset</vt:lpstr>
      <vt:lpstr>Day-10 Descriptive Statistics</vt:lpstr>
      <vt:lpstr>Day-10 Observations</vt:lpstr>
      <vt:lpstr>Day-11 Clean Dataset</vt:lpstr>
      <vt:lpstr>Day-11 Observations</vt:lpstr>
      <vt:lpstr>Day-12 Clean Dataset</vt:lpstr>
      <vt:lpstr>Day-12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2026-09-24T13:36:33Z</dcterms:modified>
</cp:coreProperties>
</file>