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58D916ED-286E-408C-A08F-62FEEC9C7F0A}" xr6:coauthVersionLast="47" xr6:coauthVersionMax="47" xr10:uidLastSave="{00000000-0000-0000-0000-000000000000}"/>
  <bookViews>
    <workbookView xWindow="-108" yWindow="-108" windowWidth="23256" windowHeight="12456" firstSheet="29" activeTab="30" xr2:uid="{00000000-000D-0000-FFFF-FFFF00000000}"/>
  </bookViews>
  <sheets>
    <sheet name="Raw Dataset" sheetId="1" r:id="rId1"/>
    <sheet name="Day-1-Clean Dataset" sheetId="2" r:id="rId2"/>
    <sheet name="Day 1 Observations" sheetId="3" r:id="rId3"/>
    <sheet name="Day-2 Clean Dataset" sheetId="6" r:id="rId4"/>
    <sheet name="Day-2 Observations" sheetId="7" r:id="rId5"/>
    <sheet name="Day-3 Clean Dataset" sheetId="8" r:id="rId6"/>
    <sheet name="Day-3 Observations" sheetId="9" r:id="rId7"/>
    <sheet name="Day-4 Clean Dataset" sheetId="10" r:id="rId8"/>
    <sheet name="Day-4 Observations" sheetId="11" r:id="rId9"/>
    <sheet name="Day-5 Clean Dataset" sheetId="12" r:id="rId10"/>
    <sheet name="Day-5 Observations" sheetId="13" r:id="rId11"/>
    <sheet name="Day-6 Clean Dataset" sheetId="14" r:id="rId12"/>
    <sheet name="Day-6 Observations" sheetId="15" r:id="rId13"/>
    <sheet name="Day-7 Clean Dataset" sheetId="16" r:id="rId14"/>
    <sheet name="Day-7 Power Query" sheetId="18" r:id="rId15"/>
    <sheet name="Day-7 Observations" sheetId="17" r:id="rId16"/>
    <sheet name="Day-8 Clean Dataset" sheetId="19" r:id="rId17"/>
    <sheet name="Day-8 Observations" sheetId="20" r:id="rId18"/>
    <sheet name="Day-9 Clean Dataset" sheetId="21" r:id="rId19"/>
    <sheet name="Day-9 Observations" sheetId="22" r:id="rId20"/>
    <sheet name="Day-10 Clean Dataset" sheetId="23" r:id="rId21"/>
    <sheet name="Day-10 Descriptive Statistics" sheetId="25" r:id="rId22"/>
    <sheet name="Day-10 Observations" sheetId="24" r:id="rId23"/>
    <sheet name="Day-11 Clean Dataset" sheetId="26" r:id="rId24"/>
    <sheet name="Day-11 Observations" sheetId="27" r:id="rId25"/>
    <sheet name="Day-12 Clean Dataset" sheetId="28" r:id="rId26"/>
    <sheet name="Day-12 Observations" sheetId="29" r:id="rId27"/>
    <sheet name="Day-13 Clean Dataset" sheetId="30" r:id="rId28"/>
    <sheet name="Day-13 VLOOKUP" sheetId="32" r:id="rId29"/>
    <sheet name="Day-13 Observations" sheetId="31" r:id="rId30"/>
    <sheet name="Day-14 Clean Dataset" sheetId="33" r:id="rId31"/>
    <sheet name="Day-14 Related Table" sheetId="34" r:id="rId32"/>
    <sheet name="Day-14 Observations" sheetId="35" r:id="rId33"/>
  </sheets>
  <definedNames>
    <definedName name="_xlnm._FilterDatabase" localSheetId="23" hidden="1">'Day-11 Clean Dataset'!$A$1:$I$151</definedName>
    <definedName name="_xlnm._FilterDatabase" localSheetId="25" hidden="1">'Day-12 Clean Dataset'!$A$1:$I$151</definedName>
    <definedName name="_xlnm._FilterDatabase" localSheetId="30" hidden="1">'Day-14 Clean Dataset'!$A$1:$I$151</definedName>
    <definedName name="_xlnm._FilterDatabase" localSheetId="11" hidden="1">'Day-6 Clean Dataset'!$A$1:$U$151</definedName>
    <definedName name="_xlnm._FilterDatabase" localSheetId="16" hidden="1">'Day-8 Clean Dataset'!$K$1:$K$151</definedName>
    <definedName name="ExternalData_1" localSheetId="14" hidden="1">'Day-7 Power Query'!$A$1:$I$151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3" l="1"/>
  <c r="C4" i="33"/>
  <c r="C5" i="33"/>
  <c r="C6" i="33"/>
  <c r="C7" i="33"/>
  <c r="C2" i="33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I101" i="32"/>
  <c r="I102" i="32"/>
  <c r="I103" i="32"/>
  <c r="I104" i="32"/>
  <c r="I105" i="32"/>
  <c r="I106" i="32"/>
  <c r="I107" i="32"/>
  <c r="I108" i="32"/>
  <c r="I109" i="32"/>
  <c r="I110" i="32"/>
  <c r="I111" i="32"/>
  <c r="I112" i="32"/>
  <c r="I113" i="32"/>
  <c r="I114" i="32"/>
  <c r="I115" i="32"/>
  <c r="I116" i="32"/>
  <c r="I117" i="32"/>
  <c r="I118" i="32"/>
  <c r="I119" i="32"/>
  <c r="I120" i="32"/>
  <c r="I121" i="32"/>
  <c r="I122" i="32"/>
  <c r="I123" i="32"/>
  <c r="I124" i="32"/>
  <c r="I125" i="32"/>
  <c r="I126" i="32"/>
  <c r="I127" i="32"/>
  <c r="I128" i="32"/>
  <c r="I129" i="32"/>
  <c r="I130" i="32"/>
  <c r="I131" i="32"/>
  <c r="I132" i="32"/>
  <c r="I133" i="32"/>
  <c r="I134" i="32"/>
  <c r="I135" i="32"/>
  <c r="I136" i="32"/>
  <c r="I137" i="32"/>
  <c r="I138" i="32"/>
  <c r="I139" i="32"/>
  <c r="I140" i="32"/>
  <c r="I141" i="32"/>
  <c r="I142" i="32"/>
  <c r="I143" i="32"/>
  <c r="I144" i="32"/>
  <c r="I145" i="32"/>
  <c r="I146" i="32"/>
  <c r="I147" i="32"/>
  <c r="I148" i="32"/>
  <c r="I149" i="32"/>
  <c r="I150" i="32"/>
  <c r="I151" i="32"/>
  <c r="I2" i="32"/>
  <c r="H2" i="32"/>
  <c r="H3" i="32"/>
  <c r="H4" i="32"/>
  <c r="H5" i="32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44" i="32"/>
  <c r="H45" i="32"/>
  <c r="H46" i="32"/>
  <c r="H47" i="32"/>
  <c r="H48" i="32"/>
  <c r="H49" i="32"/>
  <c r="H50" i="32"/>
  <c r="H51" i="32"/>
  <c r="H52" i="32"/>
  <c r="H53" i="32"/>
  <c r="H54" i="32"/>
  <c r="H55" i="32"/>
  <c r="H56" i="32"/>
  <c r="H57" i="32"/>
  <c r="H58" i="32"/>
  <c r="H59" i="32"/>
  <c r="H60" i="32"/>
  <c r="H61" i="32"/>
  <c r="H62" i="32"/>
  <c r="H63" i="32"/>
  <c r="H64" i="32"/>
  <c r="H65" i="32"/>
  <c r="H66" i="32"/>
  <c r="H67" i="32"/>
  <c r="H68" i="32"/>
  <c r="H69" i="32"/>
  <c r="H70" i="32"/>
  <c r="H71" i="32"/>
  <c r="H72" i="32"/>
  <c r="H73" i="32"/>
  <c r="H74" i="32"/>
  <c r="H75" i="32"/>
  <c r="H76" i="32"/>
  <c r="H77" i="32"/>
  <c r="H78" i="32"/>
  <c r="H79" i="32"/>
  <c r="H80" i="32"/>
  <c r="H81" i="32"/>
  <c r="H82" i="32"/>
  <c r="H83" i="32"/>
  <c r="H84" i="32"/>
  <c r="H85" i="32"/>
  <c r="H86" i="32"/>
  <c r="H87" i="32"/>
  <c r="H88" i="32"/>
  <c r="H89" i="32"/>
  <c r="H90" i="32"/>
  <c r="H91" i="32"/>
  <c r="H92" i="32"/>
  <c r="H93" i="32"/>
  <c r="H94" i="32"/>
  <c r="H95" i="32"/>
  <c r="H96" i="32"/>
  <c r="H97" i="32"/>
  <c r="H98" i="32"/>
  <c r="H99" i="32"/>
  <c r="H100" i="32"/>
  <c r="H101" i="32"/>
  <c r="H102" i="32"/>
  <c r="H103" i="32"/>
  <c r="H104" i="32"/>
  <c r="H105" i="32"/>
  <c r="H106" i="32"/>
  <c r="H107" i="32"/>
  <c r="H108" i="32"/>
  <c r="H109" i="32"/>
  <c r="H110" i="32"/>
  <c r="H111" i="32"/>
  <c r="H112" i="32"/>
  <c r="H113" i="32"/>
  <c r="H114" i="32"/>
  <c r="H115" i="32"/>
  <c r="H116" i="32"/>
  <c r="H117" i="32"/>
  <c r="H118" i="32"/>
  <c r="H119" i="32"/>
  <c r="H120" i="32"/>
  <c r="H121" i="32"/>
  <c r="H122" i="32"/>
  <c r="H123" i="32"/>
  <c r="H124" i="32"/>
  <c r="H125" i="32"/>
  <c r="H126" i="32"/>
  <c r="H127" i="32"/>
  <c r="H128" i="32"/>
  <c r="H129" i="32"/>
  <c r="H130" i="32"/>
  <c r="H131" i="32"/>
  <c r="H132" i="32"/>
  <c r="H133" i="32"/>
  <c r="H134" i="32"/>
  <c r="H135" i="32"/>
  <c r="H136" i="32"/>
  <c r="H137" i="32"/>
  <c r="H138" i="32"/>
  <c r="H139" i="32"/>
  <c r="H140" i="32"/>
  <c r="H141" i="32"/>
  <c r="H142" i="32"/>
  <c r="H143" i="32"/>
  <c r="H144" i="32"/>
  <c r="H145" i="32"/>
  <c r="H146" i="32"/>
  <c r="H147" i="32"/>
  <c r="H148" i="32"/>
  <c r="H149" i="32"/>
  <c r="H150" i="32"/>
  <c r="H151" i="32"/>
  <c r="G2" i="32"/>
  <c r="G3" i="32"/>
  <c r="G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55" i="32"/>
  <c r="G56" i="32"/>
  <c r="G57" i="32"/>
  <c r="G58" i="32"/>
  <c r="G59" i="32"/>
  <c r="G60" i="32"/>
  <c r="G61" i="32"/>
  <c r="G62" i="32"/>
  <c r="G63" i="32"/>
  <c r="G64" i="32"/>
  <c r="G65" i="32"/>
  <c r="G66" i="32"/>
  <c r="G67" i="32"/>
  <c r="G68" i="32"/>
  <c r="G69" i="32"/>
  <c r="G70" i="32"/>
  <c r="G71" i="32"/>
  <c r="G72" i="32"/>
  <c r="G73" i="32"/>
  <c r="G74" i="32"/>
  <c r="G75" i="32"/>
  <c r="G76" i="32"/>
  <c r="G77" i="32"/>
  <c r="G78" i="32"/>
  <c r="G79" i="32"/>
  <c r="G80" i="32"/>
  <c r="G81" i="32"/>
  <c r="G82" i="32"/>
  <c r="G83" i="32"/>
  <c r="G84" i="32"/>
  <c r="G85" i="32"/>
  <c r="G86" i="32"/>
  <c r="G87" i="32"/>
  <c r="G88" i="32"/>
  <c r="G89" i="32"/>
  <c r="G90" i="32"/>
  <c r="G91" i="32"/>
  <c r="G92" i="32"/>
  <c r="G93" i="32"/>
  <c r="G94" i="32"/>
  <c r="G95" i="32"/>
  <c r="G96" i="32"/>
  <c r="G97" i="32"/>
  <c r="G98" i="32"/>
  <c r="G99" i="32"/>
  <c r="G100" i="32"/>
  <c r="G101" i="32"/>
  <c r="G102" i="32"/>
  <c r="G103" i="32"/>
  <c r="G104" i="32"/>
  <c r="G105" i="32"/>
  <c r="G106" i="32"/>
  <c r="G107" i="32"/>
  <c r="G108" i="32"/>
  <c r="G109" i="32"/>
  <c r="G110" i="32"/>
  <c r="G111" i="32"/>
  <c r="G112" i="32"/>
  <c r="G113" i="32"/>
  <c r="G114" i="32"/>
  <c r="G115" i="32"/>
  <c r="G116" i="32"/>
  <c r="G117" i="32"/>
  <c r="G118" i="32"/>
  <c r="G119" i="32"/>
  <c r="G120" i="32"/>
  <c r="G121" i="32"/>
  <c r="G122" i="32"/>
  <c r="G123" i="32"/>
  <c r="G124" i="32"/>
  <c r="G125" i="32"/>
  <c r="G126" i="32"/>
  <c r="G127" i="32"/>
  <c r="G128" i="32"/>
  <c r="G129" i="32"/>
  <c r="G130" i="32"/>
  <c r="G131" i="32"/>
  <c r="G132" i="32"/>
  <c r="G133" i="32"/>
  <c r="G134" i="32"/>
  <c r="G135" i="32"/>
  <c r="G136" i="32"/>
  <c r="G137" i="32"/>
  <c r="G138" i="32"/>
  <c r="G139" i="32"/>
  <c r="G140" i="32"/>
  <c r="G141" i="32"/>
  <c r="G142" i="32"/>
  <c r="G143" i="32"/>
  <c r="G144" i="32"/>
  <c r="G145" i="32"/>
  <c r="G146" i="32"/>
  <c r="G147" i="32"/>
  <c r="G148" i="32"/>
  <c r="G149" i="32"/>
  <c r="G150" i="32"/>
  <c r="G151" i="32"/>
  <c r="F2" i="32"/>
  <c r="F3" i="32"/>
  <c r="F4" i="32"/>
  <c r="F5" i="32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59" i="32"/>
  <c r="F60" i="32"/>
  <c r="F61" i="32"/>
  <c r="F62" i="32"/>
  <c r="F63" i="32"/>
  <c r="F64" i="32"/>
  <c r="F65" i="32"/>
  <c r="F66" i="32"/>
  <c r="F67" i="32"/>
  <c r="F68" i="32"/>
  <c r="F69" i="32"/>
  <c r="F70" i="32"/>
  <c r="F71" i="32"/>
  <c r="F72" i="32"/>
  <c r="F73" i="32"/>
  <c r="F74" i="32"/>
  <c r="F75" i="32"/>
  <c r="F76" i="32"/>
  <c r="F77" i="32"/>
  <c r="F78" i="32"/>
  <c r="F79" i="32"/>
  <c r="F80" i="32"/>
  <c r="F81" i="32"/>
  <c r="F82" i="32"/>
  <c r="F83" i="32"/>
  <c r="F84" i="32"/>
  <c r="F85" i="32"/>
  <c r="F86" i="32"/>
  <c r="F87" i="32"/>
  <c r="F88" i="32"/>
  <c r="F89" i="32"/>
  <c r="F90" i="32"/>
  <c r="F91" i="32"/>
  <c r="F92" i="32"/>
  <c r="F93" i="32"/>
  <c r="F94" i="32"/>
  <c r="F95" i="32"/>
  <c r="F96" i="32"/>
  <c r="F97" i="32"/>
  <c r="F98" i="32"/>
  <c r="F99" i="32"/>
  <c r="F100" i="32"/>
  <c r="F101" i="32"/>
  <c r="F102" i="32"/>
  <c r="F103" i="32"/>
  <c r="F104" i="32"/>
  <c r="F105" i="32"/>
  <c r="F106" i="32"/>
  <c r="F107" i="32"/>
  <c r="F108" i="32"/>
  <c r="F109" i="32"/>
  <c r="F110" i="32"/>
  <c r="F111" i="32"/>
  <c r="F112" i="32"/>
  <c r="F113" i="32"/>
  <c r="F114" i="32"/>
  <c r="F115" i="32"/>
  <c r="F116" i="32"/>
  <c r="F117" i="32"/>
  <c r="F118" i="32"/>
  <c r="F119" i="32"/>
  <c r="F120" i="32"/>
  <c r="F121" i="32"/>
  <c r="F122" i="32"/>
  <c r="F123" i="32"/>
  <c r="F124" i="32"/>
  <c r="F125" i="32"/>
  <c r="F126" i="32"/>
  <c r="F127" i="32"/>
  <c r="F128" i="32"/>
  <c r="F129" i="32"/>
  <c r="F130" i="32"/>
  <c r="F131" i="32"/>
  <c r="F132" i="32"/>
  <c r="F133" i="32"/>
  <c r="F134" i="32"/>
  <c r="F135" i="32"/>
  <c r="F136" i="32"/>
  <c r="F137" i="32"/>
  <c r="F138" i="32"/>
  <c r="F139" i="32"/>
  <c r="F140" i="32"/>
  <c r="F141" i="32"/>
  <c r="F142" i="32"/>
  <c r="F143" i="32"/>
  <c r="F144" i="32"/>
  <c r="F145" i="32"/>
  <c r="F146" i="32"/>
  <c r="F147" i="32"/>
  <c r="F148" i="32"/>
  <c r="F149" i="32"/>
  <c r="F150" i="32"/>
  <c r="F151" i="32"/>
  <c r="E2" i="32"/>
  <c r="E3" i="32"/>
  <c r="E4" i="32"/>
  <c r="E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E69" i="32"/>
  <c r="E70" i="32"/>
  <c r="E71" i="32"/>
  <c r="E72" i="32"/>
  <c r="E73" i="32"/>
  <c r="E74" i="32"/>
  <c r="E75" i="32"/>
  <c r="E76" i="32"/>
  <c r="E77" i="32"/>
  <c r="E78" i="32"/>
  <c r="E79" i="32"/>
  <c r="E80" i="32"/>
  <c r="E81" i="32"/>
  <c r="E82" i="32"/>
  <c r="E83" i="32"/>
  <c r="E84" i="32"/>
  <c r="E85" i="32"/>
  <c r="E86" i="32"/>
  <c r="E87" i="32"/>
  <c r="E88" i="32"/>
  <c r="E89" i="32"/>
  <c r="E90" i="32"/>
  <c r="E91" i="32"/>
  <c r="E92" i="32"/>
  <c r="E93" i="32"/>
  <c r="E94" i="32"/>
  <c r="E95" i="32"/>
  <c r="E96" i="32"/>
  <c r="E97" i="32"/>
  <c r="E98" i="32"/>
  <c r="E99" i="32"/>
  <c r="E100" i="32"/>
  <c r="E101" i="32"/>
  <c r="E102" i="32"/>
  <c r="E103" i="32"/>
  <c r="E104" i="32"/>
  <c r="E105" i="32"/>
  <c r="E106" i="32"/>
  <c r="E107" i="32"/>
  <c r="E108" i="32"/>
  <c r="E109" i="32"/>
  <c r="E110" i="32"/>
  <c r="E111" i="32"/>
  <c r="E112" i="32"/>
  <c r="E113" i="32"/>
  <c r="E114" i="32"/>
  <c r="E115" i="32"/>
  <c r="E116" i="32"/>
  <c r="E117" i="32"/>
  <c r="E118" i="32"/>
  <c r="E119" i="32"/>
  <c r="E120" i="32"/>
  <c r="E121" i="32"/>
  <c r="E122" i="32"/>
  <c r="E123" i="32"/>
  <c r="E124" i="32"/>
  <c r="E125" i="32"/>
  <c r="E126" i="32"/>
  <c r="E127" i="32"/>
  <c r="E128" i="32"/>
  <c r="E129" i="32"/>
  <c r="E130" i="32"/>
  <c r="E131" i="32"/>
  <c r="E132" i="32"/>
  <c r="E133" i="32"/>
  <c r="E134" i="32"/>
  <c r="E135" i="32"/>
  <c r="E136" i="32"/>
  <c r="E137" i="32"/>
  <c r="E138" i="32"/>
  <c r="E139" i="32"/>
  <c r="E140" i="32"/>
  <c r="E141" i="32"/>
  <c r="E142" i="32"/>
  <c r="E143" i="32"/>
  <c r="E144" i="32"/>
  <c r="E145" i="32"/>
  <c r="E146" i="32"/>
  <c r="E147" i="32"/>
  <c r="E148" i="32"/>
  <c r="E149" i="32"/>
  <c r="E150" i="32"/>
  <c r="E151" i="32"/>
  <c r="D2" i="32"/>
  <c r="D3" i="32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102" i="32"/>
  <c r="D103" i="32"/>
  <c r="D104" i="32"/>
  <c r="D105" i="32"/>
  <c r="D106" i="32"/>
  <c r="D107" i="32"/>
  <c r="D108" i="32"/>
  <c r="D109" i="32"/>
  <c r="D110" i="32"/>
  <c r="D111" i="32"/>
  <c r="D112" i="32"/>
  <c r="D113" i="32"/>
  <c r="D114" i="32"/>
  <c r="D115" i="32"/>
  <c r="D116" i="32"/>
  <c r="D117" i="32"/>
  <c r="D118" i="32"/>
  <c r="D119" i="32"/>
  <c r="D120" i="32"/>
  <c r="D121" i="32"/>
  <c r="D122" i="32"/>
  <c r="D123" i="32"/>
  <c r="D124" i="32"/>
  <c r="D125" i="32"/>
  <c r="D126" i="32"/>
  <c r="D127" i="32"/>
  <c r="D128" i="32"/>
  <c r="D129" i="32"/>
  <c r="D130" i="32"/>
  <c r="D131" i="32"/>
  <c r="D132" i="32"/>
  <c r="D133" i="32"/>
  <c r="D134" i="32"/>
  <c r="D135" i="32"/>
  <c r="D136" i="32"/>
  <c r="D137" i="32"/>
  <c r="D138" i="32"/>
  <c r="D139" i="32"/>
  <c r="D140" i="32"/>
  <c r="D141" i="32"/>
  <c r="D142" i="32"/>
  <c r="D143" i="32"/>
  <c r="D144" i="32"/>
  <c r="D145" i="32"/>
  <c r="D146" i="32"/>
  <c r="D147" i="32"/>
  <c r="D148" i="32"/>
  <c r="D149" i="32"/>
  <c r="D150" i="32"/>
  <c r="D151" i="32"/>
  <c r="C2" i="32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140" i="32"/>
  <c r="C141" i="32"/>
  <c r="C142" i="32"/>
  <c r="C143" i="32"/>
  <c r="C144" i="32"/>
  <c r="C145" i="32"/>
  <c r="C146" i="32"/>
  <c r="C147" i="32"/>
  <c r="C148" i="32"/>
  <c r="C149" i="32"/>
  <c r="C150" i="32"/>
  <c r="C151" i="32"/>
  <c r="B3" i="32"/>
  <c r="B4" i="32"/>
  <c r="B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B73" i="32"/>
  <c r="B74" i="32"/>
  <c r="B75" i="32"/>
  <c r="B76" i="32"/>
  <c r="B77" i="32"/>
  <c r="B78" i="32"/>
  <c r="B79" i="32"/>
  <c r="B80" i="32"/>
  <c r="B81" i="32"/>
  <c r="B82" i="32"/>
  <c r="B83" i="32"/>
  <c r="B84" i="32"/>
  <c r="B85" i="32"/>
  <c r="B86" i="32"/>
  <c r="B87" i="32"/>
  <c r="B88" i="32"/>
  <c r="B89" i="32"/>
  <c r="B90" i="32"/>
  <c r="B91" i="32"/>
  <c r="B92" i="32"/>
  <c r="B93" i="32"/>
  <c r="B94" i="32"/>
  <c r="B95" i="32"/>
  <c r="B96" i="32"/>
  <c r="B97" i="32"/>
  <c r="B98" i="32"/>
  <c r="B99" i="32"/>
  <c r="B100" i="32"/>
  <c r="B101" i="32"/>
  <c r="B102" i="32"/>
  <c r="B103" i="32"/>
  <c r="B104" i="32"/>
  <c r="B105" i="32"/>
  <c r="B106" i="32"/>
  <c r="B107" i="32"/>
  <c r="B108" i="32"/>
  <c r="B109" i="32"/>
  <c r="B110" i="32"/>
  <c r="B111" i="32"/>
  <c r="B112" i="32"/>
  <c r="B113" i="32"/>
  <c r="B114" i="32"/>
  <c r="B115" i="32"/>
  <c r="B116" i="32"/>
  <c r="B117" i="32"/>
  <c r="B118" i="32"/>
  <c r="B119" i="32"/>
  <c r="B120" i="32"/>
  <c r="B121" i="32"/>
  <c r="B122" i="32"/>
  <c r="B123" i="32"/>
  <c r="B124" i="32"/>
  <c r="B125" i="32"/>
  <c r="B126" i="32"/>
  <c r="B127" i="32"/>
  <c r="B128" i="32"/>
  <c r="B129" i="32"/>
  <c r="B130" i="32"/>
  <c r="B131" i="32"/>
  <c r="B132" i="32"/>
  <c r="B133" i="32"/>
  <c r="B134" i="32"/>
  <c r="B135" i="32"/>
  <c r="B136" i="32"/>
  <c r="B137" i="32"/>
  <c r="B138" i="32"/>
  <c r="B139" i="32"/>
  <c r="B140" i="32"/>
  <c r="B141" i="32"/>
  <c r="B142" i="32"/>
  <c r="B143" i="32"/>
  <c r="B144" i="32"/>
  <c r="B145" i="32"/>
  <c r="B146" i="32"/>
  <c r="B147" i="32"/>
  <c r="B148" i="32"/>
  <c r="B149" i="32"/>
  <c r="B150" i="32"/>
  <c r="B151" i="32"/>
  <c r="B2" i="32"/>
  <c r="N3" i="28"/>
  <c r="N4" i="28"/>
  <c r="N5" i="28"/>
  <c r="N6" i="28"/>
  <c r="N7" i="28"/>
  <c r="N8" i="28"/>
  <c r="N9" i="28"/>
  <c r="N10" i="28"/>
  <c r="N11" i="28"/>
  <c r="N12" i="28"/>
  <c r="N13" i="28"/>
  <c r="N14" i="28"/>
  <c r="N15" i="28"/>
  <c r="N16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33" i="28"/>
  <c r="N34" i="28"/>
  <c r="N35" i="28"/>
  <c r="N36" i="28"/>
  <c r="N37" i="28"/>
  <c r="N38" i="28"/>
  <c r="N39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4" i="28"/>
  <c r="N55" i="28"/>
  <c r="N56" i="28"/>
  <c r="N57" i="28"/>
  <c r="N58" i="28"/>
  <c r="N59" i="28"/>
  <c r="N60" i="28"/>
  <c r="N61" i="28"/>
  <c r="N62" i="28"/>
  <c r="N63" i="28"/>
  <c r="N64" i="28"/>
  <c r="N65" i="28"/>
  <c r="N66" i="28"/>
  <c r="N67" i="28"/>
  <c r="N68" i="28"/>
  <c r="N69" i="28"/>
  <c r="N70" i="28"/>
  <c r="N71" i="28"/>
  <c r="N72" i="28"/>
  <c r="N73" i="28"/>
  <c r="N74" i="28"/>
  <c r="N75" i="28"/>
  <c r="N76" i="28"/>
  <c r="N77" i="28"/>
  <c r="N78" i="28"/>
  <c r="N79" i="28"/>
  <c r="N80" i="28"/>
  <c r="N81" i="28"/>
  <c r="N82" i="28"/>
  <c r="N83" i="28"/>
  <c r="N84" i="28"/>
  <c r="N85" i="28"/>
  <c r="N86" i="28"/>
  <c r="N87" i="28"/>
  <c r="N88" i="28"/>
  <c r="N89" i="28"/>
  <c r="N90" i="28"/>
  <c r="N91" i="28"/>
  <c r="N92" i="28"/>
  <c r="N93" i="28"/>
  <c r="N94" i="28"/>
  <c r="N95" i="28"/>
  <c r="N96" i="28"/>
  <c r="N97" i="28"/>
  <c r="N98" i="28"/>
  <c r="N99" i="28"/>
  <c r="N100" i="28"/>
  <c r="N101" i="28"/>
  <c r="N102" i="28"/>
  <c r="N103" i="28"/>
  <c r="N104" i="28"/>
  <c r="N105" i="28"/>
  <c r="N106" i="28"/>
  <c r="N107" i="28"/>
  <c r="N108" i="28"/>
  <c r="N109" i="28"/>
  <c r="N110" i="28"/>
  <c r="N111" i="28"/>
  <c r="N112" i="28"/>
  <c r="N113" i="28"/>
  <c r="N114" i="28"/>
  <c r="N115" i="28"/>
  <c r="N116" i="28"/>
  <c r="N117" i="28"/>
  <c r="N118" i="28"/>
  <c r="N119" i="28"/>
  <c r="N120" i="28"/>
  <c r="N121" i="28"/>
  <c r="N122" i="28"/>
  <c r="N123" i="28"/>
  <c r="N124" i="28"/>
  <c r="N125" i="28"/>
  <c r="N126" i="28"/>
  <c r="N127" i="28"/>
  <c r="N128" i="28"/>
  <c r="N129" i="28"/>
  <c r="N130" i="28"/>
  <c r="N131" i="28"/>
  <c r="N132" i="28"/>
  <c r="N133" i="28"/>
  <c r="N134" i="28"/>
  <c r="N135" i="28"/>
  <c r="N136" i="28"/>
  <c r="N137" i="28"/>
  <c r="N138" i="28"/>
  <c r="N139" i="28"/>
  <c r="N140" i="28"/>
  <c r="N141" i="28"/>
  <c r="N142" i="28"/>
  <c r="N143" i="28"/>
  <c r="N144" i="28"/>
  <c r="N145" i="28"/>
  <c r="N146" i="28"/>
  <c r="N147" i="28"/>
  <c r="N148" i="28"/>
  <c r="N149" i="28"/>
  <c r="N150" i="28"/>
  <c r="N151" i="28"/>
  <c r="M3" i="28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49" i="28"/>
  <c r="M50" i="28"/>
  <c r="M51" i="28"/>
  <c r="M52" i="28"/>
  <c r="M53" i="28"/>
  <c r="M54" i="28"/>
  <c r="M55" i="28"/>
  <c r="M56" i="28"/>
  <c r="M57" i="28"/>
  <c r="M58" i="28"/>
  <c r="M59" i="28"/>
  <c r="M60" i="28"/>
  <c r="M61" i="28"/>
  <c r="M62" i="28"/>
  <c r="M63" i="28"/>
  <c r="M64" i="28"/>
  <c r="M65" i="28"/>
  <c r="M66" i="28"/>
  <c r="M67" i="28"/>
  <c r="M68" i="28"/>
  <c r="M69" i="28"/>
  <c r="M70" i="28"/>
  <c r="M71" i="28"/>
  <c r="M72" i="28"/>
  <c r="M73" i="28"/>
  <c r="M74" i="28"/>
  <c r="M75" i="28"/>
  <c r="M76" i="28"/>
  <c r="M77" i="28"/>
  <c r="M78" i="28"/>
  <c r="M79" i="28"/>
  <c r="M80" i="28"/>
  <c r="M81" i="28"/>
  <c r="M82" i="28"/>
  <c r="M83" i="28"/>
  <c r="M84" i="28"/>
  <c r="M85" i="28"/>
  <c r="M86" i="28"/>
  <c r="M87" i="28"/>
  <c r="M88" i="28"/>
  <c r="M89" i="28"/>
  <c r="M90" i="28"/>
  <c r="M91" i="28"/>
  <c r="M92" i="28"/>
  <c r="M93" i="28"/>
  <c r="M94" i="28"/>
  <c r="M95" i="28"/>
  <c r="M96" i="28"/>
  <c r="M97" i="28"/>
  <c r="M98" i="28"/>
  <c r="M99" i="28"/>
  <c r="M100" i="28"/>
  <c r="M101" i="28"/>
  <c r="M102" i="28"/>
  <c r="M103" i="28"/>
  <c r="M104" i="28"/>
  <c r="M105" i="28"/>
  <c r="M106" i="28"/>
  <c r="M107" i="28"/>
  <c r="M108" i="28"/>
  <c r="M109" i="28"/>
  <c r="M110" i="28"/>
  <c r="M111" i="28"/>
  <c r="M112" i="28"/>
  <c r="M113" i="28"/>
  <c r="M114" i="28"/>
  <c r="M115" i="28"/>
  <c r="M116" i="28"/>
  <c r="M117" i="28"/>
  <c r="M118" i="28"/>
  <c r="M119" i="28"/>
  <c r="M120" i="28"/>
  <c r="M121" i="28"/>
  <c r="M122" i="28"/>
  <c r="M123" i="28"/>
  <c r="M124" i="28"/>
  <c r="M125" i="28"/>
  <c r="M126" i="28"/>
  <c r="M127" i="28"/>
  <c r="M128" i="28"/>
  <c r="M129" i="28"/>
  <c r="M130" i="28"/>
  <c r="M131" i="28"/>
  <c r="M132" i="28"/>
  <c r="M133" i="28"/>
  <c r="M134" i="28"/>
  <c r="M135" i="28"/>
  <c r="M136" i="28"/>
  <c r="M137" i="28"/>
  <c r="M138" i="28"/>
  <c r="M139" i="28"/>
  <c r="M140" i="28"/>
  <c r="M141" i="28"/>
  <c r="M142" i="28"/>
  <c r="M143" i="28"/>
  <c r="M144" i="28"/>
  <c r="M145" i="28"/>
  <c r="M146" i="28"/>
  <c r="M147" i="28"/>
  <c r="M148" i="28"/>
  <c r="M149" i="28"/>
  <c r="M150" i="28"/>
  <c r="M151" i="28"/>
  <c r="L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L63" i="28"/>
  <c r="L64" i="28"/>
  <c r="L65" i="28"/>
  <c r="L66" i="28"/>
  <c r="L67" i="28"/>
  <c r="L68" i="28"/>
  <c r="L69" i="28"/>
  <c r="L70" i="28"/>
  <c r="L71" i="28"/>
  <c r="L72" i="28"/>
  <c r="L73" i="28"/>
  <c r="L74" i="28"/>
  <c r="L75" i="28"/>
  <c r="L76" i="28"/>
  <c r="L77" i="28"/>
  <c r="L78" i="28"/>
  <c r="L79" i="28"/>
  <c r="L80" i="28"/>
  <c r="L81" i="28"/>
  <c r="L82" i="28"/>
  <c r="L83" i="28"/>
  <c r="L84" i="28"/>
  <c r="L85" i="28"/>
  <c r="L86" i="28"/>
  <c r="L87" i="28"/>
  <c r="L88" i="28"/>
  <c r="L89" i="28"/>
  <c r="L90" i="28"/>
  <c r="L91" i="28"/>
  <c r="L92" i="28"/>
  <c r="L93" i="28"/>
  <c r="L94" i="28"/>
  <c r="L95" i="28"/>
  <c r="L96" i="28"/>
  <c r="L97" i="28"/>
  <c r="L98" i="28"/>
  <c r="L99" i="28"/>
  <c r="L100" i="28"/>
  <c r="L101" i="28"/>
  <c r="L102" i="28"/>
  <c r="L103" i="28"/>
  <c r="L104" i="28"/>
  <c r="L105" i="28"/>
  <c r="L106" i="28"/>
  <c r="L107" i="28"/>
  <c r="L108" i="28"/>
  <c r="L109" i="28"/>
  <c r="L110" i="28"/>
  <c r="L111" i="28"/>
  <c r="L112" i="28"/>
  <c r="L113" i="28"/>
  <c r="L114" i="28"/>
  <c r="L115" i="28"/>
  <c r="L116" i="28"/>
  <c r="L117" i="28"/>
  <c r="L118" i="28"/>
  <c r="L119" i="28"/>
  <c r="L120" i="28"/>
  <c r="L121" i="28"/>
  <c r="L122" i="28"/>
  <c r="L123" i="28"/>
  <c r="L124" i="28"/>
  <c r="L125" i="28"/>
  <c r="L126" i="28"/>
  <c r="L127" i="28"/>
  <c r="L128" i="28"/>
  <c r="L129" i="28"/>
  <c r="L130" i="28"/>
  <c r="L131" i="28"/>
  <c r="L132" i="28"/>
  <c r="L133" i="28"/>
  <c r="L134" i="28"/>
  <c r="L135" i="28"/>
  <c r="L136" i="28"/>
  <c r="L137" i="28"/>
  <c r="L138" i="28"/>
  <c r="L139" i="28"/>
  <c r="L140" i="28"/>
  <c r="L141" i="28"/>
  <c r="L142" i="28"/>
  <c r="L143" i="28"/>
  <c r="L144" i="28"/>
  <c r="L145" i="28"/>
  <c r="L146" i="28"/>
  <c r="L147" i="28"/>
  <c r="L148" i="28"/>
  <c r="L149" i="28"/>
  <c r="L150" i="28"/>
  <c r="L151" i="28"/>
  <c r="N2" i="28"/>
  <c r="M2" i="28"/>
  <c r="L2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3" i="28"/>
  <c r="O2" i="28"/>
  <c r="K2" i="28"/>
  <c r="J2" i="28"/>
  <c r="L2" i="23" a="1"/>
  <c r="L2" i="23" s="1"/>
  <c r="K2" i="23" a="1"/>
  <c r="K2" i="23" s="1"/>
  <c r="L3" i="19" l="1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2" i="19"/>
  <c r="U151" i="16"/>
  <c r="T151" i="16"/>
  <c r="S151" i="16"/>
  <c r="R151" i="16"/>
  <c r="Q151" i="16"/>
  <c r="P151" i="16"/>
  <c r="M151" i="16"/>
  <c r="U150" i="16"/>
  <c r="T150" i="16"/>
  <c r="S150" i="16"/>
  <c r="R150" i="16"/>
  <c r="Q150" i="16"/>
  <c r="P150" i="16"/>
  <c r="M150" i="16"/>
  <c r="U149" i="16"/>
  <c r="T149" i="16"/>
  <c r="S149" i="16"/>
  <c r="R149" i="16"/>
  <c r="Q149" i="16"/>
  <c r="P149" i="16"/>
  <c r="M149" i="16"/>
  <c r="U148" i="16"/>
  <c r="T148" i="16"/>
  <c r="S148" i="16"/>
  <c r="R148" i="16"/>
  <c r="Q148" i="16"/>
  <c r="P148" i="16"/>
  <c r="M148" i="16"/>
  <c r="U147" i="16"/>
  <c r="T147" i="16"/>
  <c r="S147" i="16"/>
  <c r="R147" i="16"/>
  <c r="Q147" i="16"/>
  <c r="P147" i="16"/>
  <c r="M147" i="16"/>
  <c r="U146" i="16"/>
  <c r="T146" i="16"/>
  <c r="S146" i="16"/>
  <c r="R146" i="16"/>
  <c r="Q146" i="16"/>
  <c r="P146" i="16"/>
  <c r="M146" i="16"/>
  <c r="U145" i="16"/>
  <c r="T145" i="16"/>
  <c r="S145" i="16"/>
  <c r="R145" i="16"/>
  <c r="Q145" i="16"/>
  <c r="P145" i="16"/>
  <c r="M145" i="16"/>
  <c r="U144" i="16"/>
  <c r="T144" i="16"/>
  <c r="S144" i="16"/>
  <c r="R144" i="16"/>
  <c r="Q144" i="16"/>
  <c r="P144" i="16"/>
  <c r="M144" i="16"/>
  <c r="U143" i="16"/>
  <c r="T143" i="16"/>
  <c r="S143" i="16"/>
  <c r="R143" i="16"/>
  <c r="Q143" i="16"/>
  <c r="P143" i="16"/>
  <c r="M143" i="16"/>
  <c r="U142" i="16"/>
  <c r="T142" i="16"/>
  <c r="S142" i="16"/>
  <c r="R142" i="16"/>
  <c r="Q142" i="16"/>
  <c r="P142" i="16"/>
  <c r="M142" i="16"/>
  <c r="U141" i="16"/>
  <c r="T141" i="16"/>
  <c r="S141" i="16"/>
  <c r="R141" i="16"/>
  <c r="Q141" i="16"/>
  <c r="P141" i="16"/>
  <c r="M141" i="16"/>
  <c r="U140" i="16"/>
  <c r="T140" i="16"/>
  <c r="S140" i="16"/>
  <c r="R140" i="16"/>
  <c r="Q140" i="16"/>
  <c r="P140" i="16"/>
  <c r="M140" i="16"/>
  <c r="U139" i="16"/>
  <c r="T139" i="16"/>
  <c r="S139" i="16"/>
  <c r="R139" i="16"/>
  <c r="Q139" i="16"/>
  <c r="P139" i="16"/>
  <c r="M139" i="16"/>
  <c r="U138" i="16"/>
  <c r="T138" i="16"/>
  <c r="S138" i="16"/>
  <c r="R138" i="16"/>
  <c r="Q138" i="16"/>
  <c r="P138" i="16"/>
  <c r="M138" i="16"/>
  <c r="U137" i="16"/>
  <c r="T137" i="16"/>
  <c r="S137" i="16"/>
  <c r="R137" i="16"/>
  <c r="Q137" i="16"/>
  <c r="P137" i="16"/>
  <c r="M137" i="16"/>
  <c r="U136" i="16"/>
  <c r="T136" i="16"/>
  <c r="S136" i="16"/>
  <c r="R136" i="16"/>
  <c r="Q136" i="16"/>
  <c r="P136" i="16"/>
  <c r="M136" i="16"/>
  <c r="U135" i="16"/>
  <c r="T135" i="16"/>
  <c r="S135" i="16"/>
  <c r="R135" i="16"/>
  <c r="Q135" i="16"/>
  <c r="P135" i="16"/>
  <c r="M135" i="16"/>
  <c r="U134" i="16"/>
  <c r="T134" i="16"/>
  <c r="S134" i="16"/>
  <c r="R134" i="16"/>
  <c r="Q134" i="16"/>
  <c r="P134" i="16"/>
  <c r="M134" i="16"/>
  <c r="U133" i="16"/>
  <c r="T133" i="16"/>
  <c r="S133" i="16"/>
  <c r="R133" i="16"/>
  <c r="Q133" i="16"/>
  <c r="P133" i="16"/>
  <c r="M133" i="16"/>
  <c r="U132" i="16"/>
  <c r="T132" i="16"/>
  <c r="S132" i="16"/>
  <c r="R132" i="16"/>
  <c r="Q132" i="16"/>
  <c r="P132" i="16"/>
  <c r="M132" i="16"/>
  <c r="U131" i="16"/>
  <c r="T131" i="16"/>
  <c r="S131" i="16"/>
  <c r="R131" i="16"/>
  <c r="Q131" i="16"/>
  <c r="P131" i="16"/>
  <c r="M131" i="16"/>
  <c r="U130" i="16"/>
  <c r="T130" i="16"/>
  <c r="S130" i="16"/>
  <c r="R130" i="16"/>
  <c r="Q130" i="16"/>
  <c r="P130" i="16"/>
  <c r="M130" i="16"/>
  <c r="U129" i="16"/>
  <c r="T129" i="16"/>
  <c r="S129" i="16"/>
  <c r="R129" i="16"/>
  <c r="Q129" i="16"/>
  <c r="P129" i="16"/>
  <c r="M129" i="16"/>
  <c r="U128" i="16"/>
  <c r="T128" i="16"/>
  <c r="S128" i="16"/>
  <c r="R128" i="16"/>
  <c r="Q128" i="16"/>
  <c r="P128" i="16"/>
  <c r="M128" i="16"/>
  <c r="U127" i="16"/>
  <c r="T127" i="16"/>
  <c r="S127" i="16"/>
  <c r="R127" i="16"/>
  <c r="Q127" i="16"/>
  <c r="P127" i="16"/>
  <c r="M127" i="16"/>
  <c r="U126" i="16"/>
  <c r="T126" i="16"/>
  <c r="S126" i="16"/>
  <c r="R126" i="16"/>
  <c r="Q126" i="16"/>
  <c r="P126" i="16"/>
  <c r="M126" i="16"/>
  <c r="U125" i="16"/>
  <c r="T125" i="16"/>
  <c r="S125" i="16"/>
  <c r="R125" i="16"/>
  <c r="Q125" i="16"/>
  <c r="P125" i="16"/>
  <c r="M125" i="16"/>
  <c r="U124" i="16"/>
  <c r="T124" i="16"/>
  <c r="S124" i="16"/>
  <c r="R124" i="16"/>
  <c r="Q124" i="16"/>
  <c r="P124" i="16"/>
  <c r="M124" i="16"/>
  <c r="U123" i="16"/>
  <c r="T123" i="16"/>
  <c r="S123" i="16"/>
  <c r="R123" i="16"/>
  <c r="Q123" i="16"/>
  <c r="P123" i="16"/>
  <c r="M123" i="16"/>
  <c r="U122" i="16"/>
  <c r="T122" i="16"/>
  <c r="S122" i="16"/>
  <c r="R122" i="16"/>
  <c r="Q122" i="16"/>
  <c r="P122" i="16"/>
  <c r="M122" i="16"/>
  <c r="U121" i="16"/>
  <c r="T121" i="16"/>
  <c r="S121" i="16"/>
  <c r="R121" i="16"/>
  <c r="Q121" i="16"/>
  <c r="P121" i="16"/>
  <c r="M121" i="16"/>
  <c r="U120" i="16"/>
  <c r="T120" i="16"/>
  <c r="S120" i="16"/>
  <c r="R120" i="16"/>
  <c r="Q120" i="16"/>
  <c r="P120" i="16"/>
  <c r="M120" i="16"/>
  <c r="U119" i="16"/>
  <c r="T119" i="16"/>
  <c r="S119" i="16"/>
  <c r="R119" i="16"/>
  <c r="Q119" i="16"/>
  <c r="P119" i="16"/>
  <c r="M119" i="16"/>
  <c r="U118" i="16"/>
  <c r="T118" i="16"/>
  <c r="S118" i="16"/>
  <c r="R118" i="16"/>
  <c r="Q118" i="16"/>
  <c r="P118" i="16"/>
  <c r="M118" i="16"/>
  <c r="U117" i="16"/>
  <c r="T117" i="16"/>
  <c r="S117" i="16"/>
  <c r="R117" i="16"/>
  <c r="Q117" i="16"/>
  <c r="P117" i="16"/>
  <c r="M117" i="16"/>
  <c r="U116" i="16"/>
  <c r="T116" i="16"/>
  <c r="S116" i="16"/>
  <c r="R116" i="16"/>
  <c r="Q116" i="16"/>
  <c r="P116" i="16"/>
  <c r="M116" i="16"/>
  <c r="U115" i="16"/>
  <c r="T115" i="16"/>
  <c r="S115" i="16"/>
  <c r="R115" i="16"/>
  <c r="Q115" i="16"/>
  <c r="P115" i="16"/>
  <c r="M115" i="16"/>
  <c r="U114" i="16"/>
  <c r="T114" i="16"/>
  <c r="S114" i="16"/>
  <c r="R114" i="16"/>
  <c r="Q114" i="16"/>
  <c r="P114" i="16"/>
  <c r="M114" i="16"/>
  <c r="U113" i="16"/>
  <c r="T113" i="16"/>
  <c r="S113" i="16"/>
  <c r="R113" i="16"/>
  <c r="Q113" i="16"/>
  <c r="P113" i="16"/>
  <c r="M113" i="16"/>
  <c r="U112" i="16"/>
  <c r="T112" i="16"/>
  <c r="S112" i="16"/>
  <c r="R112" i="16"/>
  <c r="Q112" i="16"/>
  <c r="P112" i="16"/>
  <c r="M112" i="16"/>
  <c r="U111" i="16"/>
  <c r="T111" i="16"/>
  <c r="S111" i="16"/>
  <c r="R111" i="16"/>
  <c r="Q111" i="16"/>
  <c r="P111" i="16"/>
  <c r="M111" i="16"/>
  <c r="U110" i="16"/>
  <c r="T110" i="16"/>
  <c r="S110" i="16"/>
  <c r="R110" i="16"/>
  <c r="Q110" i="16"/>
  <c r="P110" i="16"/>
  <c r="M110" i="16"/>
  <c r="U109" i="16"/>
  <c r="T109" i="16"/>
  <c r="S109" i="16"/>
  <c r="R109" i="16"/>
  <c r="Q109" i="16"/>
  <c r="P109" i="16"/>
  <c r="M109" i="16"/>
  <c r="U108" i="16"/>
  <c r="T108" i="16"/>
  <c r="S108" i="16"/>
  <c r="R108" i="16"/>
  <c r="Q108" i="16"/>
  <c r="P108" i="16"/>
  <c r="M108" i="16"/>
  <c r="U107" i="16"/>
  <c r="T107" i="16"/>
  <c r="S107" i="16"/>
  <c r="R107" i="16"/>
  <c r="Q107" i="16"/>
  <c r="P107" i="16"/>
  <c r="M107" i="16"/>
  <c r="U106" i="16"/>
  <c r="T106" i="16"/>
  <c r="S106" i="16"/>
  <c r="R106" i="16"/>
  <c r="Q106" i="16"/>
  <c r="P106" i="16"/>
  <c r="M106" i="16"/>
  <c r="U105" i="16"/>
  <c r="T105" i="16"/>
  <c r="S105" i="16"/>
  <c r="R105" i="16"/>
  <c r="Q105" i="16"/>
  <c r="P105" i="16"/>
  <c r="M105" i="16"/>
  <c r="U104" i="16"/>
  <c r="T104" i="16"/>
  <c r="S104" i="16"/>
  <c r="R104" i="16"/>
  <c r="Q104" i="16"/>
  <c r="P104" i="16"/>
  <c r="M104" i="16"/>
  <c r="U103" i="16"/>
  <c r="T103" i="16"/>
  <c r="S103" i="16"/>
  <c r="R103" i="16"/>
  <c r="Q103" i="16"/>
  <c r="P103" i="16"/>
  <c r="M103" i="16"/>
  <c r="U102" i="16"/>
  <c r="T102" i="16"/>
  <c r="S102" i="16"/>
  <c r="R102" i="16"/>
  <c r="Q102" i="16"/>
  <c r="P102" i="16"/>
  <c r="M102" i="16"/>
  <c r="U101" i="16"/>
  <c r="T101" i="16"/>
  <c r="S101" i="16"/>
  <c r="R101" i="16"/>
  <c r="Q101" i="16"/>
  <c r="P101" i="16"/>
  <c r="M101" i="16"/>
  <c r="U100" i="16"/>
  <c r="T100" i="16"/>
  <c r="S100" i="16"/>
  <c r="R100" i="16"/>
  <c r="Q100" i="16"/>
  <c r="P100" i="16"/>
  <c r="M100" i="16"/>
  <c r="U99" i="16"/>
  <c r="T99" i="16"/>
  <c r="S99" i="16"/>
  <c r="R99" i="16"/>
  <c r="Q99" i="16"/>
  <c r="P99" i="16"/>
  <c r="M99" i="16"/>
  <c r="U98" i="16"/>
  <c r="T98" i="16"/>
  <c r="S98" i="16"/>
  <c r="R98" i="16"/>
  <c r="Q98" i="16"/>
  <c r="P98" i="16"/>
  <c r="M98" i="16"/>
  <c r="U97" i="16"/>
  <c r="T97" i="16"/>
  <c r="S97" i="16"/>
  <c r="R97" i="16"/>
  <c r="Q97" i="16"/>
  <c r="P97" i="16"/>
  <c r="M97" i="16"/>
  <c r="U96" i="16"/>
  <c r="T96" i="16"/>
  <c r="S96" i="16"/>
  <c r="R96" i="16"/>
  <c r="Q96" i="16"/>
  <c r="P96" i="16"/>
  <c r="M96" i="16"/>
  <c r="U95" i="16"/>
  <c r="T95" i="16"/>
  <c r="S95" i="16"/>
  <c r="R95" i="16"/>
  <c r="Q95" i="16"/>
  <c r="P95" i="16"/>
  <c r="M95" i="16"/>
  <c r="U94" i="16"/>
  <c r="T94" i="16"/>
  <c r="S94" i="16"/>
  <c r="R94" i="16"/>
  <c r="Q94" i="16"/>
  <c r="P94" i="16"/>
  <c r="M94" i="16"/>
  <c r="U93" i="16"/>
  <c r="T93" i="16"/>
  <c r="S93" i="16"/>
  <c r="R93" i="16"/>
  <c r="Q93" i="16"/>
  <c r="P93" i="16"/>
  <c r="M93" i="16"/>
  <c r="U92" i="16"/>
  <c r="T92" i="16"/>
  <c r="S92" i="16"/>
  <c r="R92" i="16"/>
  <c r="Q92" i="16"/>
  <c r="P92" i="16"/>
  <c r="M92" i="16"/>
  <c r="U91" i="16"/>
  <c r="T91" i="16"/>
  <c r="S91" i="16"/>
  <c r="R91" i="16"/>
  <c r="Q91" i="16"/>
  <c r="P91" i="16"/>
  <c r="M91" i="16"/>
  <c r="U90" i="16"/>
  <c r="T90" i="16"/>
  <c r="S90" i="16"/>
  <c r="R90" i="16"/>
  <c r="Q90" i="16"/>
  <c r="P90" i="16"/>
  <c r="M90" i="16"/>
  <c r="U89" i="16"/>
  <c r="T89" i="16"/>
  <c r="S89" i="16"/>
  <c r="R89" i="16"/>
  <c r="Q89" i="16"/>
  <c r="P89" i="16"/>
  <c r="M89" i="16"/>
  <c r="U88" i="16"/>
  <c r="T88" i="16"/>
  <c r="S88" i="16"/>
  <c r="R88" i="16"/>
  <c r="Q88" i="16"/>
  <c r="P88" i="16"/>
  <c r="M88" i="16"/>
  <c r="U87" i="16"/>
  <c r="T87" i="16"/>
  <c r="S87" i="16"/>
  <c r="R87" i="16"/>
  <c r="Q87" i="16"/>
  <c r="P87" i="16"/>
  <c r="M87" i="16"/>
  <c r="U86" i="16"/>
  <c r="T86" i="16"/>
  <c r="S86" i="16"/>
  <c r="R86" i="16"/>
  <c r="Q86" i="16"/>
  <c r="P86" i="16"/>
  <c r="M86" i="16"/>
  <c r="U85" i="16"/>
  <c r="T85" i="16"/>
  <c r="S85" i="16"/>
  <c r="R85" i="16"/>
  <c r="Q85" i="16"/>
  <c r="P85" i="16"/>
  <c r="M85" i="16"/>
  <c r="U84" i="16"/>
  <c r="T84" i="16"/>
  <c r="S84" i="16"/>
  <c r="R84" i="16"/>
  <c r="Q84" i="16"/>
  <c r="P84" i="16"/>
  <c r="M84" i="16"/>
  <c r="U83" i="16"/>
  <c r="T83" i="16"/>
  <c r="S83" i="16"/>
  <c r="R83" i="16"/>
  <c r="Q83" i="16"/>
  <c r="P83" i="16"/>
  <c r="M83" i="16"/>
  <c r="U82" i="16"/>
  <c r="T82" i="16"/>
  <c r="S82" i="16"/>
  <c r="R82" i="16"/>
  <c r="Q82" i="16"/>
  <c r="P82" i="16"/>
  <c r="M82" i="16"/>
  <c r="U81" i="16"/>
  <c r="T81" i="16"/>
  <c r="S81" i="16"/>
  <c r="R81" i="16"/>
  <c r="Q81" i="16"/>
  <c r="P81" i="16"/>
  <c r="M81" i="16"/>
  <c r="U80" i="16"/>
  <c r="T80" i="16"/>
  <c r="S80" i="16"/>
  <c r="R80" i="16"/>
  <c r="Q80" i="16"/>
  <c r="P80" i="16"/>
  <c r="M80" i="16"/>
  <c r="U79" i="16"/>
  <c r="T79" i="16"/>
  <c r="S79" i="16"/>
  <c r="R79" i="16"/>
  <c r="Q79" i="16"/>
  <c r="P79" i="16"/>
  <c r="M79" i="16"/>
  <c r="U78" i="16"/>
  <c r="T78" i="16"/>
  <c r="S78" i="16"/>
  <c r="R78" i="16"/>
  <c r="Q78" i="16"/>
  <c r="P78" i="16"/>
  <c r="M78" i="16"/>
  <c r="U77" i="16"/>
  <c r="T77" i="16"/>
  <c r="S77" i="16"/>
  <c r="R77" i="16"/>
  <c r="Q77" i="16"/>
  <c r="P77" i="16"/>
  <c r="M77" i="16"/>
  <c r="U76" i="16"/>
  <c r="T76" i="16"/>
  <c r="S76" i="16"/>
  <c r="R76" i="16"/>
  <c r="Q76" i="16"/>
  <c r="P76" i="16"/>
  <c r="M76" i="16"/>
  <c r="U75" i="16"/>
  <c r="T75" i="16"/>
  <c r="S75" i="16"/>
  <c r="R75" i="16"/>
  <c r="Q75" i="16"/>
  <c r="P75" i="16"/>
  <c r="M75" i="16"/>
  <c r="U74" i="16"/>
  <c r="T74" i="16"/>
  <c r="S74" i="16"/>
  <c r="R74" i="16"/>
  <c r="Q74" i="16"/>
  <c r="P74" i="16"/>
  <c r="M74" i="16"/>
  <c r="U73" i="16"/>
  <c r="T73" i="16"/>
  <c r="S73" i="16"/>
  <c r="R73" i="16"/>
  <c r="Q73" i="16"/>
  <c r="P73" i="16"/>
  <c r="M73" i="16"/>
  <c r="U72" i="16"/>
  <c r="T72" i="16"/>
  <c r="S72" i="16"/>
  <c r="R72" i="16"/>
  <c r="Q72" i="16"/>
  <c r="P72" i="16"/>
  <c r="M72" i="16"/>
  <c r="U71" i="16"/>
  <c r="T71" i="16"/>
  <c r="S71" i="16"/>
  <c r="R71" i="16"/>
  <c r="Q71" i="16"/>
  <c r="P71" i="16"/>
  <c r="M71" i="16"/>
  <c r="U70" i="16"/>
  <c r="T70" i="16"/>
  <c r="S70" i="16"/>
  <c r="R70" i="16"/>
  <c r="Q70" i="16"/>
  <c r="P70" i="16"/>
  <c r="M70" i="16"/>
  <c r="U69" i="16"/>
  <c r="T69" i="16"/>
  <c r="S69" i="16"/>
  <c r="R69" i="16"/>
  <c r="Q69" i="16"/>
  <c r="P69" i="16"/>
  <c r="M69" i="16"/>
  <c r="U68" i="16"/>
  <c r="T68" i="16"/>
  <c r="S68" i="16"/>
  <c r="R68" i="16"/>
  <c r="Q68" i="16"/>
  <c r="P68" i="16"/>
  <c r="M68" i="16"/>
  <c r="U67" i="16"/>
  <c r="T67" i="16"/>
  <c r="S67" i="16"/>
  <c r="R67" i="16"/>
  <c r="Q67" i="16"/>
  <c r="P67" i="16"/>
  <c r="M67" i="16"/>
  <c r="U66" i="16"/>
  <c r="T66" i="16"/>
  <c r="S66" i="16"/>
  <c r="R66" i="16"/>
  <c r="Q66" i="16"/>
  <c r="P66" i="16"/>
  <c r="M66" i="16"/>
  <c r="U65" i="16"/>
  <c r="T65" i="16"/>
  <c r="S65" i="16"/>
  <c r="R65" i="16"/>
  <c r="Q65" i="16"/>
  <c r="P65" i="16"/>
  <c r="M65" i="16"/>
  <c r="U64" i="16"/>
  <c r="T64" i="16"/>
  <c r="S64" i="16"/>
  <c r="R64" i="16"/>
  <c r="Q64" i="16"/>
  <c r="P64" i="16"/>
  <c r="M64" i="16"/>
  <c r="U63" i="16"/>
  <c r="T63" i="16"/>
  <c r="S63" i="16"/>
  <c r="R63" i="16"/>
  <c r="Q63" i="16"/>
  <c r="P63" i="16"/>
  <c r="M63" i="16"/>
  <c r="U62" i="16"/>
  <c r="T62" i="16"/>
  <c r="S62" i="16"/>
  <c r="R62" i="16"/>
  <c r="Q62" i="16"/>
  <c r="P62" i="16"/>
  <c r="M62" i="16"/>
  <c r="U61" i="16"/>
  <c r="T61" i="16"/>
  <c r="S61" i="16"/>
  <c r="R61" i="16"/>
  <c r="Q61" i="16"/>
  <c r="P61" i="16"/>
  <c r="M61" i="16"/>
  <c r="U60" i="16"/>
  <c r="T60" i="16"/>
  <c r="S60" i="16"/>
  <c r="R60" i="16"/>
  <c r="Q60" i="16"/>
  <c r="P60" i="16"/>
  <c r="M60" i="16"/>
  <c r="U59" i="16"/>
  <c r="T59" i="16"/>
  <c r="S59" i="16"/>
  <c r="R59" i="16"/>
  <c r="Q59" i="16"/>
  <c r="P59" i="16"/>
  <c r="M59" i="16"/>
  <c r="U58" i="16"/>
  <c r="T58" i="16"/>
  <c r="S58" i="16"/>
  <c r="R58" i="16"/>
  <c r="Q58" i="16"/>
  <c r="P58" i="16"/>
  <c r="M58" i="16"/>
  <c r="U57" i="16"/>
  <c r="T57" i="16"/>
  <c r="S57" i="16"/>
  <c r="R57" i="16"/>
  <c r="Q57" i="16"/>
  <c r="P57" i="16"/>
  <c r="M57" i="16"/>
  <c r="U56" i="16"/>
  <c r="T56" i="16"/>
  <c r="S56" i="16"/>
  <c r="R56" i="16"/>
  <c r="Q56" i="16"/>
  <c r="P56" i="16"/>
  <c r="M56" i="16"/>
  <c r="U55" i="16"/>
  <c r="T55" i="16"/>
  <c r="S55" i="16"/>
  <c r="R55" i="16"/>
  <c r="Q55" i="16"/>
  <c r="P55" i="16"/>
  <c r="M55" i="16"/>
  <c r="U54" i="16"/>
  <c r="T54" i="16"/>
  <c r="S54" i="16"/>
  <c r="R54" i="16"/>
  <c r="Q54" i="16"/>
  <c r="P54" i="16"/>
  <c r="M54" i="16"/>
  <c r="U53" i="16"/>
  <c r="T53" i="16"/>
  <c r="S53" i="16"/>
  <c r="R53" i="16"/>
  <c r="Q53" i="16"/>
  <c r="P53" i="16"/>
  <c r="M53" i="16"/>
  <c r="U52" i="16"/>
  <c r="T52" i="16"/>
  <c r="S52" i="16"/>
  <c r="R52" i="16"/>
  <c r="Q52" i="16"/>
  <c r="P52" i="16"/>
  <c r="M52" i="16"/>
  <c r="U51" i="16"/>
  <c r="T51" i="16"/>
  <c r="S51" i="16"/>
  <c r="R51" i="16"/>
  <c r="Q51" i="16"/>
  <c r="P51" i="16"/>
  <c r="M51" i="16"/>
  <c r="U50" i="16"/>
  <c r="T50" i="16"/>
  <c r="S50" i="16"/>
  <c r="R50" i="16"/>
  <c r="Q50" i="16"/>
  <c r="P50" i="16"/>
  <c r="M50" i="16"/>
  <c r="U49" i="16"/>
  <c r="T49" i="16"/>
  <c r="S49" i="16"/>
  <c r="R49" i="16"/>
  <c r="Q49" i="16"/>
  <c r="P49" i="16"/>
  <c r="M49" i="16"/>
  <c r="U48" i="16"/>
  <c r="T48" i="16"/>
  <c r="S48" i="16"/>
  <c r="R48" i="16"/>
  <c r="Q48" i="16"/>
  <c r="P48" i="16"/>
  <c r="M48" i="16"/>
  <c r="U47" i="16"/>
  <c r="T47" i="16"/>
  <c r="S47" i="16"/>
  <c r="R47" i="16"/>
  <c r="Q47" i="16"/>
  <c r="P47" i="16"/>
  <c r="M47" i="16"/>
  <c r="U46" i="16"/>
  <c r="T46" i="16"/>
  <c r="S46" i="16"/>
  <c r="R46" i="16"/>
  <c r="Q46" i="16"/>
  <c r="P46" i="16"/>
  <c r="M46" i="16"/>
  <c r="U45" i="16"/>
  <c r="T45" i="16"/>
  <c r="S45" i="16"/>
  <c r="R45" i="16"/>
  <c r="Q45" i="16"/>
  <c r="P45" i="16"/>
  <c r="M45" i="16"/>
  <c r="U44" i="16"/>
  <c r="T44" i="16"/>
  <c r="S44" i="16"/>
  <c r="R44" i="16"/>
  <c r="Q44" i="16"/>
  <c r="P44" i="16"/>
  <c r="M44" i="16"/>
  <c r="U43" i="16"/>
  <c r="T43" i="16"/>
  <c r="S43" i="16"/>
  <c r="R43" i="16"/>
  <c r="Q43" i="16"/>
  <c r="P43" i="16"/>
  <c r="M43" i="16"/>
  <c r="U42" i="16"/>
  <c r="T42" i="16"/>
  <c r="S42" i="16"/>
  <c r="R42" i="16"/>
  <c r="Q42" i="16"/>
  <c r="P42" i="16"/>
  <c r="M42" i="16"/>
  <c r="U41" i="16"/>
  <c r="T41" i="16"/>
  <c r="S41" i="16"/>
  <c r="R41" i="16"/>
  <c r="Q41" i="16"/>
  <c r="P41" i="16"/>
  <c r="M41" i="16"/>
  <c r="U40" i="16"/>
  <c r="T40" i="16"/>
  <c r="S40" i="16"/>
  <c r="R40" i="16"/>
  <c r="Q40" i="16"/>
  <c r="P40" i="16"/>
  <c r="M40" i="16"/>
  <c r="U39" i="16"/>
  <c r="T39" i="16"/>
  <c r="S39" i="16"/>
  <c r="R39" i="16"/>
  <c r="Q39" i="16"/>
  <c r="P39" i="16"/>
  <c r="M39" i="16"/>
  <c r="U38" i="16"/>
  <c r="T38" i="16"/>
  <c r="S38" i="16"/>
  <c r="R38" i="16"/>
  <c r="Q38" i="16"/>
  <c r="P38" i="16"/>
  <c r="M38" i="16"/>
  <c r="U37" i="16"/>
  <c r="T37" i="16"/>
  <c r="S37" i="16"/>
  <c r="R37" i="16"/>
  <c r="Q37" i="16"/>
  <c r="P37" i="16"/>
  <c r="M37" i="16"/>
  <c r="U36" i="16"/>
  <c r="T36" i="16"/>
  <c r="S36" i="16"/>
  <c r="R36" i="16"/>
  <c r="Q36" i="16"/>
  <c r="P36" i="16"/>
  <c r="M36" i="16"/>
  <c r="U35" i="16"/>
  <c r="T35" i="16"/>
  <c r="S35" i="16"/>
  <c r="R35" i="16"/>
  <c r="Q35" i="16"/>
  <c r="P35" i="16"/>
  <c r="M35" i="16"/>
  <c r="U34" i="16"/>
  <c r="T34" i="16"/>
  <c r="S34" i="16"/>
  <c r="R34" i="16"/>
  <c r="Q34" i="16"/>
  <c r="P34" i="16"/>
  <c r="M34" i="16"/>
  <c r="U33" i="16"/>
  <c r="T33" i="16"/>
  <c r="S33" i="16"/>
  <c r="R33" i="16"/>
  <c r="Q33" i="16"/>
  <c r="P33" i="16"/>
  <c r="M33" i="16"/>
  <c r="U32" i="16"/>
  <c r="T32" i="16"/>
  <c r="S32" i="16"/>
  <c r="R32" i="16"/>
  <c r="Q32" i="16"/>
  <c r="P32" i="16"/>
  <c r="M32" i="16"/>
  <c r="U31" i="16"/>
  <c r="T31" i="16"/>
  <c r="S31" i="16"/>
  <c r="R31" i="16"/>
  <c r="Q31" i="16"/>
  <c r="P31" i="16"/>
  <c r="M31" i="16"/>
  <c r="U30" i="16"/>
  <c r="T30" i="16"/>
  <c r="S30" i="16"/>
  <c r="R30" i="16"/>
  <c r="Q30" i="16"/>
  <c r="P30" i="16"/>
  <c r="M30" i="16"/>
  <c r="U29" i="16"/>
  <c r="T29" i="16"/>
  <c r="S29" i="16"/>
  <c r="R29" i="16"/>
  <c r="Q29" i="16"/>
  <c r="P29" i="16"/>
  <c r="M29" i="16"/>
  <c r="U28" i="16"/>
  <c r="T28" i="16"/>
  <c r="S28" i="16"/>
  <c r="R28" i="16"/>
  <c r="Q28" i="16"/>
  <c r="P28" i="16"/>
  <c r="M28" i="16"/>
  <c r="U27" i="16"/>
  <c r="T27" i="16"/>
  <c r="S27" i="16"/>
  <c r="R27" i="16"/>
  <c r="Q27" i="16"/>
  <c r="P27" i="16"/>
  <c r="M27" i="16"/>
  <c r="U26" i="16"/>
  <c r="T26" i="16"/>
  <c r="S26" i="16"/>
  <c r="R26" i="16"/>
  <c r="Q26" i="16"/>
  <c r="P26" i="16"/>
  <c r="M26" i="16"/>
  <c r="U25" i="16"/>
  <c r="T25" i="16"/>
  <c r="S25" i="16"/>
  <c r="R25" i="16"/>
  <c r="Q25" i="16"/>
  <c r="P25" i="16"/>
  <c r="M25" i="16"/>
  <c r="U24" i="16"/>
  <c r="T24" i="16"/>
  <c r="S24" i="16"/>
  <c r="R24" i="16"/>
  <c r="Q24" i="16"/>
  <c r="P24" i="16"/>
  <c r="M24" i="16"/>
  <c r="U23" i="16"/>
  <c r="T23" i="16"/>
  <c r="S23" i="16"/>
  <c r="R23" i="16"/>
  <c r="Q23" i="16"/>
  <c r="P23" i="16"/>
  <c r="M23" i="16"/>
  <c r="U22" i="16"/>
  <c r="T22" i="16"/>
  <c r="S22" i="16"/>
  <c r="R22" i="16"/>
  <c r="Q22" i="16"/>
  <c r="P22" i="16"/>
  <c r="M22" i="16"/>
  <c r="U21" i="16"/>
  <c r="T21" i="16"/>
  <c r="S21" i="16"/>
  <c r="R21" i="16"/>
  <c r="Q21" i="16"/>
  <c r="P21" i="16"/>
  <c r="M21" i="16"/>
  <c r="U20" i="16"/>
  <c r="T20" i="16"/>
  <c r="S20" i="16"/>
  <c r="R20" i="16"/>
  <c r="Q20" i="16"/>
  <c r="P20" i="16"/>
  <c r="M20" i="16"/>
  <c r="U19" i="16"/>
  <c r="T19" i="16"/>
  <c r="S19" i="16"/>
  <c r="R19" i="16"/>
  <c r="Q19" i="16"/>
  <c r="P19" i="16"/>
  <c r="M19" i="16"/>
  <c r="U18" i="16"/>
  <c r="T18" i="16"/>
  <c r="S18" i="16"/>
  <c r="R18" i="16"/>
  <c r="Q18" i="16"/>
  <c r="P18" i="16"/>
  <c r="M18" i="16"/>
  <c r="U17" i="16"/>
  <c r="T17" i="16"/>
  <c r="S17" i="16"/>
  <c r="R17" i="16"/>
  <c r="Q17" i="16"/>
  <c r="P17" i="16"/>
  <c r="M17" i="16"/>
  <c r="U16" i="16"/>
  <c r="T16" i="16"/>
  <c r="S16" i="16"/>
  <c r="R16" i="16"/>
  <c r="Q16" i="16"/>
  <c r="P16" i="16"/>
  <c r="M16" i="16"/>
  <c r="U15" i="16"/>
  <c r="T15" i="16"/>
  <c r="S15" i="16"/>
  <c r="R15" i="16"/>
  <c r="Q15" i="16"/>
  <c r="P15" i="16"/>
  <c r="M15" i="16"/>
  <c r="U14" i="16"/>
  <c r="T14" i="16"/>
  <c r="S14" i="16"/>
  <c r="R14" i="16"/>
  <c r="Q14" i="16"/>
  <c r="P14" i="16"/>
  <c r="M14" i="16"/>
  <c r="U13" i="16"/>
  <c r="T13" i="16"/>
  <c r="S13" i="16"/>
  <c r="R13" i="16"/>
  <c r="Q13" i="16"/>
  <c r="P13" i="16"/>
  <c r="M13" i="16"/>
  <c r="U12" i="16"/>
  <c r="T12" i="16"/>
  <c r="S12" i="16"/>
  <c r="R12" i="16"/>
  <c r="Q12" i="16"/>
  <c r="P12" i="16"/>
  <c r="M12" i="16"/>
  <c r="U11" i="16"/>
  <c r="T11" i="16"/>
  <c r="S11" i="16"/>
  <c r="R11" i="16"/>
  <c r="Q11" i="16"/>
  <c r="P11" i="16"/>
  <c r="M11" i="16"/>
  <c r="U10" i="16"/>
  <c r="T10" i="16"/>
  <c r="S10" i="16"/>
  <c r="R10" i="16"/>
  <c r="Q10" i="16"/>
  <c r="P10" i="16"/>
  <c r="M10" i="16"/>
  <c r="U9" i="16"/>
  <c r="T9" i="16"/>
  <c r="S9" i="16"/>
  <c r="R9" i="16"/>
  <c r="Q9" i="16"/>
  <c r="P9" i="16"/>
  <c r="M9" i="16"/>
  <c r="U8" i="16"/>
  <c r="T8" i="16"/>
  <c r="S8" i="16"/>
  <c r="R8" i="16"/>
  <c r="Q8" i="16"/>
  <c r="P8" i="16"/>
  <c r="M8" i="16"/>
  <c r="U7" i="16"/>
  <c r="T7" i="16"/>
  <c r="S7" i="16"/>
  <c r="R7" i="16"/>
  <c r="Q7" i="16"/>
  <c r="P7" i="16"/>
  <c r="M7" i="16"/>
  <c r="U6" i="16"/>
  <c r="T6" i="16"/>
  <c r="S6" i="16"/>
  <c r="R6" i="16"/>
  <c r="Q6" i="16"/>
  <c r="P6" i="16"/>
  <c r="O6" i="16"/>
  <c r="M6" i="16"/>
  <c r="L6" i="16"/>
  <c r="K6" i="16"/>
  <c r="U5" i="16"/>
  <c r="T5" i="16"/>
  <c r="S5" i="16"/>
  <c r="R5" i="16"/>
  <c r="Q5" i="16"/>
  <c r="P5" i="16"/>
  <c r="O5" i="16"/>
  <c r="M5" i="16"/>
  <c r="L5" i="16"/>
  <c r="K5" i="16"/>
  <c r="U4" i="16"/>
  <c r="T4" i="16"/>
  <c r="S4" i="16"/>
  <c r="R4" i="16"/>
  <c r="Q4" i="16"/>
  <c r="P4" i="16"/>
  <c r="O4" i="16"/>
  <c r="M4" i="16"/>
  <c r="L4" i="16"/>
  <c r="K4" i="16"/>
  <c r="U3" i="16"/>
  <c r="T3" i="16"/>
  <c r="S3" i="16"/>
  <c r="R3" i="16"/>
  <c r="Q3" i="16"/>
  <c r="P3" i="16"/>
  <c r="O3" i="16"/>
  <c r="M3" i="16"/>
  <c r="L3" i="16"/>
  <c r="K3" i="16"/>
  <c r="U2" i="16"/>
  <c r="T2" i="16"/>
  <c r="S2" i="16"/>
  <c r="R2" i="16"/>
  <c r="Q2" i="16"/>
  <c r="P2" i="16"/>
  <c r="O2" i="16"/>
  <c r="M2" i="16"/>
  <c r="L2" i="16"/>
  <c r="K2" i="16"/>
  <c r="Q2" i="14"/>
  <c r="U151" i="14"/>
  <c r="T151" i="14"/>
  <c r="S151" i="14"/>
  <c r="R151" i="14"/>
  <c r="Q151" i="14"/>
  <c r="P151" i="14"/>
  <c r="M151" i="14"/>
  <c r="U150" i="14"/>
  <c r="T150" i="14"/>
  <c r="S150" i="14"/>
  <c r="R150" i="14"/>
  <c r="Q150" i="14"/>
  <c r="P150" i="14"/>
  <c r="M150" i="14"/>
  <c r="U149" i="14"/>
  <c r="T149" i="14"/>
  <c r="S149" i="14"/>
  <c r="R149" i="14"/>
  <c r="Q149" i="14"/>
  <c r="P149" i="14"/>
  <c r="M149" i="14"/>
  <c r="U148" i="14"/>
  <c r="T148" i="14"/>
  <c r="S148" i="14"/>
  <c r="R148" i="14"/>
  <c r="Q148" i="14"/>
  <c r="P148" i="14"/>
  <c r="M148" i="14"/>
  <c r="U147" i="14"/>
  <c r="T147" i="14"/>
  <c r="S147" i="14"/>
  <c r="R147" i="14"/>
  <c r="Q147" i="14"/>
  <c r="P147" i="14"/>
  <c r="M147" i="14"/>
  <c r="U146" i="14"/>
  <c r="T146" i="14"/>
  <c r="S146" i="14"/>
  <c r="R146" i="14"/>
  <c r="Q146" i="14"/>
  <c r="P146" i="14"/>
  <c r="M146" i="14"/>
  <c r="U145" i="14"/>
  <c r="T145" i="14"/>
  <c r="S145" i="14"/>
  <c r="R145" i="14"/>
  <c r="Q145" i="14"/>
  <c r="P145" i="14"/>
  <c r="M145" i="14"/>
  <c r="U144" i="14"/>
  <c r="T144" i="14"/>
  <c r="S144" i="14"/>
  <c r="R144" i="14"/>
  <c r="Q144" i="14"/>
  <c r="P144" i="14"/>
  <c r="M144" i="14"/>
  <c r="U143" i="14"/>
  <c r="T143" i="14"/>
  <c r="S143" i="14"/>
  <c r="R143" i="14"/>
  <c r="Q143" i="14"/>
  <c r="P143" i="14"/>
  <c r="M143" i="14"/>
  <c r="U142" i="14"/>
  <c r="T142" i="14"/>
  <c r="S142" i="14"/>
  <c r="R142" i="14"/>
  <c r="Q142" i="14"/>
  <c r="P142" i="14"/>
  <c r="M142" i="14"/>
  <c r="U141" i="14"/>
  <c r="T141" i="14"/>
  <c r="S141" i="14"/>
  <c r="R141" i="14"/>
  <c r="Q141" i="14"/>
  <c r="P141" i="14"/>
  <c r="M141" i="14"/>
  <c r="U140" i="14"/>
  <c r="T140" i="14"/>
  <c r="S140" i="14"/>
  <c r="R140" i="14"/>
  <c r="Q140" i="14"/>
  <c r="P140" i="14"/>
  <c r="M140" i="14"/>
  <c r="U139" i="14"/>
  <c r="T139" i="14"/>
  <c r="S139" i="14"/>
  <c r="R139" i="14"/>
  <c r="Q139" i="14"/>
  <c r="P139" i="14"/>
  <c r="M139" i="14"/>
  <c r="U138" i="14"/>
  <c r="T138" i="14"/>
  <c r="S138" i="14"/>
  <c r="R138" i="14"/>
  <c r="Q138" i="14"/>
  <c r="P138" i="14"/>
  <c r="M138" i="14"/>
  <c r="U137" i="14"/>
  <c r="T137" i="14"/>
  <c r="S137" i="14"/>
  <c r="R137" i="14"/>
  <c r="Q137" i="14"/>
  <c r="P137" i="14"/>
  <c r="M137" i="14"/>
  <c r="U136" i="14"/>
  <c r="T136" i="14"/>
  <c r="S136" i="14"/>
  <c r="R136" i="14"/>
  <c r="Q136" i="14"/>
  <c r="P136" i="14"/>
  <c r="M136" i="14"/>
  <c r="U135" i="14"/>
  <c r="T135" i="14"/>
  <c r="S135" i="14"/>
  <c r="R135" i="14"/>
  <c r="Q135" i="14"/>
  <c r="P135" i="14"/>
  <c r="M135" i="14"/>
  <c r="U134" i="14"/>
  <c r="T134" i="14"/>
  <c r="S134" i="14"/>
  <c r="R134" i="14"/>
  <c r="Q134" i="14"/>
  <c r="P134" i="14"/>
  <c r="M134" i="14"/>
  <c r="U133" i="14"/>
  <c r="T133" i="14"/>
  <c r="S133" i="14"/>
  <c r="R133" i="14"/>
  <c r="Q133" i="14"/>
  <c r="P133" i="14"/>
  <c r="M133" i="14"/>
  <c r="U132" i="14"/>
  <c r="T132" i="14"/>
  <c r="S132" i="14"/>
  <c r="R132" i="14"/>
  <c r="Q132" i="14"/>
  <c r="P132" i="14"/>
  <c r="M132" i="14"/>
  <c r="U131" i="14"/>
  <c r="T131" i="14"/>
  <c r="S131" i="14"/>
  <c r="R131" i="14"/>
  <c r="Q131" i="14"/>
  <c r="P131" i="14"/>
  <c r="M131" i="14"/>
  <c r="U130" i="14"/>
  <c r="T130" i="14"/>
  <c r="S130" i="14"/>
  <c r="R130" i="14"/>
  <c r="Q130" i="14"/>
  <c r="P130" i="14"/>
  <c r="M130" i="14"/>
  <c r="U129" i="14"/>
  <c r="T129" i="14"/>
  <c r="S129" i="14"/>
  <c r="R129" i="14"/>
  <c r="Q129" i="14"/>
  <c r="P129" i="14"/>
  <c r="M129" i="14"/>
  <c r="U128" i="14"/>
  <c r="T128" i="14"/>
  <c r="S128" i="14"/>
  <c r="R128" i="14"/>
  <c r="Q128" i="14"/>
  <c r="P128" i="14"/>
  <c r="M128" i="14"/>
  <c r="U127" i="14"/>
  <c r="T127" i="14"/>
  <c r="S127" i="14"/>
  <c r="R127" i="14"/>
  <c r="Q127" i="14"/>
  <c r="P127" i="14"/>
  <c r="M127" i="14"/>
  <c r="U126" i="14"/>
  <c r="T126" i="14"/>
  <c r="S126" i="14"/>
  <c r="R126" i="14"/>
  <c r="Q126" i="14"/>
  <c r="P126" i="14"/>
  <c r="M126" i="14"/>
  <c r="U125" i="14"/>
  <c r="T125" i="14"/>
  <c r="S125" i="14"/>
  <c r="R125" i="14"/>
  <c r="Q125" i="14"/>
  <c r="P125" i="14"/>
  <c r="M125" i="14"/>
  <c r="U124" i="14"/>
  <c r="T124" i="14"/>
  <c r="S124" i="14"/>
  <c r="R124" i="14"/>
  <c r="Q124" i="14"/>
  <c r="P124" i="14"/>
  <c r="M124" i="14"/>
  <c r="U123" i="14"/>
  <c r="T123" i="14"/>
  <c r="S123" i="14"/>
  <c r="R123" i="14"/>
  <c r="Q123" i="14"/>
  <c r="P123" i="14"/>
  <c r="M123" i="14"/>
  <c r="U122" i="14"/>
  <c r="T122" i="14"/>
  <c r="S122" i="14"/>
  <c r="R122" i="14"/>
  <c r="Q122" i="14"/>
  <c r="P122" i="14"/>
  <c r="M122" i="14"/>
  <c r="U121" i="14"/>
  <c r="T121" i="14"/>
  <c r="S121" i="14"/>
  <c r="R121" i="14"/>
  <c r="Q121" i="14"/>
  <c r="P121" i="14"/>
  <c r="M121" i="14"/>
  <c r="U120" i="14"/>
  <c r="T120" i="14"/>
  <c r="S120" i="14"/>
  <c r="R120" i="14"/>
  <c r="Q120" i="14"/>
  <c r="P120" i="14"/>
  <c r="M120" i="14"/>
  <c r="U119" i="14"/>
  <c r="T119" i="14"/>
  <c r="S119" i="14"/>
  <c r="R119" i="14"/>
  <c r="Q119" i="14"/>
  <c r="P119" i="14"/>
  <c r="M119" i="14"/>
  <c r="U118" i="14"/>
  <c r="T118" i="14"/>
  <c r="S118" i="14"/>
  <c r="R118" i="14"/>
  <c r="Q118" i="14"/>
  <c r="P118" i="14"/>
  <c r="M118" i="14"/>
  <c r="U117" i="14"/>
  <c r="T117" i="14"/>
  <c r="S117" i="14"/>
  <c r="R117" i="14"/>
  <c r="Q117" i="14"/>
  <c r="P117" i="14"/>
  <c r="M117" i="14"/>
  <c r="U116" i="14"/>
  <c r="T116" i="14"/>
  <c r="S116" i="14"/>
  <c r="R116" i="14"/>
  <c r="Q116" i="14"/>
  <c r="P116" i="14"/>
  <c r="M116" i="14"/>
  <c r="U115" i="14"/>
  <c r="T115" i="14"/>
  <c r="S115" i="14"/>
  <c r="R115" i="14"/>
  <c r="Q115" i="14"/>
  <c r="P115" i="14"/>
  <c r="M115" i="14"/>
  <c r="U114" i="14"/>
  <c r="T114" i="14"/>
  <c r="S114" i="14"/>
  <c r="R114" i="14"/>
  <c r="Q114" i="14"/>
  <c r="P114" i="14"/>
  <c r="M114" i="14"/>
  <c r="U113" i="14"/>
  <c r="T113" i="14"/>
  <c r="S113" i="14"/>
  <c r="R113" i="14"/>
  <c r="Q113" i="14"/>
  <c r="P113" i="14"/>
  <c r="M113" i="14"/>
  <c r="U112" i="14"/>
  <c r="T112" i="14"/>
  <c r="S112" i="14"/>
  <c r="R112" i="14"/>
  <c r="Q112" i="14"/>
  <c r="P112" i="14"/>
  <c r="M112" i="14"/>
  <c r="U111" i="14"/>
  <c r="T111" i="14"/>
  <c r="S111" i="14"/>
  <c r="R111" i="14"/>
  <c r="Q111" i="14"/>
  <c r="P111" i="14"/>
  <c r="M111" i="14"/>
  <c r="U110" i="14"/>
  <c r="T110" i="14"/>
  <c r="S110" i="14"/>
  <c r="R110" i="14"/>
  <c r="Q110" i="14"/>
  <c r="P110" i="14"/>
  <c r="M110" i="14"/>
  <c r="U109" i="14"/>
  <c r="T109" i="14"/>
  <c r="S109" i="14"/>
  <c r="R109" i="14"/>
  <c r="Q109" i="14"/>
  <c r="P109" i="14"/>
  <c r="M109" i="14"/>
  <c r="U108" i="14"/>
  <c r="T108" i="14"/>
  <c r="S108" i="14"/>
  <c r="R108" i="14"/>
  <c r="Q108" i="14"/>
  <c r="P108" i="14"/>
  <c r="M108" i="14"/>
  <c r="U107" i="14"/>
  <c r="T107" i="14"/>
  <c r="S107" i="14"/>
  <c r="R107" i="14"/>
  <c r="Q107" i="14"/>
  <c r="P107" i="14"/>
  <c r="M107" i="14"/>
  <c r="U106" i="14"/>
  <c r="T106" i="14"/>
  <c r="S106" i="14"/>
  <c r="R106" i="14"/>
  <c r="Q106" i="14"/>
  <c r="P106" i="14"/>
  <c r="M106" i="14"/>
  <c r="U105" i="14"/>
  <c r="T105" i="14"/>
  <c r="S105" i="14"/>
  <c r="R105" i="14"/>
  <c r="Q105" i="14"/>
  <c r="P105" i="14"/>
  <c r="M105" i="14"/>
  <c r="U104" i="14"/>
  <c r="T104" i="14"/>
  <c r="S104" i="14"/>
  <c r="R104" i="14"/>
  <c r="Q104" i="14"/>
  <c r="P104" i="14"/>
  <c r="M104" i="14"/>
  <c r="U103" i="14"/>
  <c r="T103" i="14"/>
  <c r="S103" i="14"/>
  <c r="R103" i="14"/>
  <c r="Q103" i="14"/>
  <c r="P103" i="14"/>
  <c r="M103" i="14"/>
  <c r="U102" i="14"/>
  <c r="T102" i="14"/>
  <c r="S102" i="14"/>
  <c r="R102" i="14"/>
  <c r="Q102" i="14"/>
  <c r="P102" i="14"/>
  <c r="M102" i="14"/>
  <c r="U101" i="14"/>
  <c r="T101" i="14"/>
  <c r="S101" i="14"/>
  <c r="R101" i="14"/>
  <c r="Q101" i="14"/>
  <c r="P101" i="14"/>
  <c r="M101" i="14"/>
  <c r="U100" i="14"/>
  <c r="T100" i="14"/>
  <c r="S100" i="14"/>
  <c r="R100" i="14"/>
  <c r="Q100" i="14"/>
  <c r="P100" i="14"/>
  <c r="M100" i="14"/>
  <c r="U99" i="14"/>
  <c r="T99" i="14"/>
  <c r="S99" i="14"/>
  <c r="R99" i="14"/>
  <c r="Q99" i="14"/>
  <c r="P99" i="14"/>
  <c r="M99" i="14"/>
  <c r="U98" i="14"/>
  <c r="T98" i="14"/>
  <c r="S98" i="14"/>
  <c r="R98" i="14"/>
  <c r="Q98" i="14"/>
  <c r="P98" i="14"/>
  <c r="M98" i="14"/>
  <c r="U97" i="14"/>
  <c r="T97" i="14"/>
  <c r="S97" i="14"/>
  <c r="R97" i="14"/>
  <c r="Q97" i="14"/>
  <c r="P97" i="14"/>
  <c r="M97" i="14"/>
  <c r="U96" i="14"/>
  <c r="T96" i="14"/>
  <c r="S96" i="14"/>
  <c r="R96" i="14"/>
  <c r="Q96" i="14"/>
  <c r="P96" i="14"/>
  <c r="M96" i="14"/>
  <c r="U95" i="14"/>
  <c r="T95" i="14"/>
  <c r="S95" i="14"/>
  <c r="R95" i="14"/>
  <c r="Q95" i="14"/>
  <c r="P95" i="14"/>
  <c r="M95" i="14"/>
  <c r="U94" i="14"/>
  <c r="T94" i="14"/>
  <c r="S94" i="14"/>
  <c r="R94" i="14"/>
  <c r="Q94" i="14"/>
  <c r="P94" i="14"/>
  <c r="M94" i="14"/>
  <c r="U93" i="14"/>
  <c r="T93" i="14"/>
  <c r="S93" i="14"/>
  <c r="R93" i="14"/>
  <c r="Q93" i="14"/>
  <c r="P93" i="14"/>
  <c r="M93" i="14"/>
  <c r="U92" i="14"/>
  <c r="T92" i="14"/>
  <c r="S92" i="14"/>
  <c r="R92" i="14"/>
  <c r="Q92" i="14"/>
  <c r="P92" i="14"/>
  <c r="M92" i="14"/>
  <c r="U91" i="14"/>
  <c r="T91" i="14"/>
  <c r="S91" i="14"/>
  <c r="R91" i="14"/>
  <c r="Q91" i="14"/>
  <c r="P91" i="14"/>
  <c r="M91" i="14"/>
  <c r="U90" i="14"/>
  <c r="T90" i="14"/>
  <c r="S90" i="14"/>
  <c r="R90" i="14"/>
  <c r="Q90" i="14"/>
  <c r="P90" i="14"/>
  <c r="M90" i="14"/>
  <c r="U89" i="14"/>
  <c r="T89" i="14"/>
  <c r="S89" i="14"/>
  <c r="R89" i="14"/>
  <c r="Q89" i="14"/>
  <c r="P89" i="14"/>
  <c r="M89" i="14"/>
  <c r="U88" i="14"/>
  <c r="T88" i="14"/>
  <c r="S88" i="14"/>
  <c r="R88" i="14"/>
  <c r="Q88" i="14"/>
  <c r="P88" i="14"/>
  <c r="M88" i="14"/>
  <c r="U87" i="14"/>
  <c r="T87" i="14"/>
  <c r="S87" i="14"/>
  <c r="R87" i="14"/>
  <c r="Q87" i="14"/>
  <c r="P87" i="14"/>
  <c r="M87" i="14"/>
  <c r="U86" i="14"/>
  <c r="T86" i="14"/>
  <c r="S86" i="14"/>
  <c r="R86" i="14"/>
  <c r="Q86" i="14"/>
  <c r="P86" i="14"/>
  <c r="M86" i="14"/>
  <c r="U85" i="14"/>
  <c r="T85" i="14"/>
  <c r="S85" i="14"/>
  <c r="R85" i="14"/>
  <c r="Q85" i="14"/>
  <c r="P85" i="14"/>
  <c r="M85" i="14"/>
  <c r="U84" i="14"/>
  <c r="T84" i="14"/>
  <c r="S84" i="14"/>
  <c r="R84" i="14"/>
  <c r="Q84" i="14"/>
  <c r="P84" i="14"/>
  <c r="M84" i="14"/>
  <c r="U83" i="14"/>
  <c r="T83" i="14"/>
  <c r="S83" i="14"/>
  <c r="R83" i="14"/>
  <c r="Q83" i="14"/>
  <c r="P83" i="14"/>
  <c r="M83" i="14"/>
  <c r="U82" i="14"/>
  <c r="T82" i="14"/>
  <c r="S82" i="14"/>
  <c r="R82" i="14"/>
  <c r="Q82" i="14"/>
  <c r="P82" i="14"/>
  <c r="M82" i="14"/>
  <c r="U81" i="14"/>
  <c r="T81" i="14"/>
  <c r="S81" i="14"/>
  <c r="R81" i="14"/>
  <c r="Q81" i="14"/>
  <c r="P81" i="14"/>
  <c r="M81" i="14"/>
  <c r="U80" i="14"/>
  <c r="T80" i="14"/>
  <c r="S80" i="14"/>
  <c r="R80" i="14"/>
  <c r="Q80" i="14"/>
  <c r="P80" i="14"/>
  <c r="M80" i="14"/>
  <c r="U79" i="14"/>
  <c r="T79" i="14"/>
  <c r="S79" i="14"/>
  <c r="R79" i="14"/>
  <c r="Q79" i="14"/>
  <c r="P79" i="14"/>
  <c r="M79" i="14"/>
  <c r="U78" i="14"/>
  <c r="T78" i="14"/>
  <c r="S78" i="14"/>
  <c r="R78" i="14"/>
  <c r="Q78" i="14"/>
  <c r="P78" i="14"/>
  <c r="M78" i="14"/>
  <c r="U77" i="14"/>
  <c r="T77" i="14"/>
  <c r="S77" i="14"/>
  <c r="R77" i="14"/>
  <c r="Q77" i="14"/>
  <c r="P77" i="14"/>
  <c r="M77" i="14"/>
  <c r="U76" i="14"/>
  <c r="T76" i="14"/>
  <c r="S76" i="14"/>
  <c r="R76" i="14"/>
  <c r="Q76" i="14"/>
  <c r="P76" i="14"/>
  <c r="M76" i="14"/>
  <c r="U75" i="14"/>
  <c r="T75" i="14"/>
  <c r="S75" i="14"/>
  <c r="R75" i="14"/>
  <c r="Q75" i="14"/>
  <c r="P75" i="14"/>
  <c r="M75" i="14"/>
  <c r="U74" i="14"/>
  <c r="T74" i="14"/>
  <c r="S74" i="14"/>
  <c r="R74" i="14"/>
  <c r="Q74" i="14"/>
  <c r="P74" i="14"/>
  <c r="M74" i="14"/>
  <c r="U73" i="14"/>
  <c r="T73" i="14"/>
  <c r="S73" i="14"/>
  <c r="R73" i="14"/>
  <c r="Q73" i="14"/>
  <c r="P73" i="14"/>
  <c r="M73" i="14"/>
  <c r="U72" i="14"/>
  <c r="T72" i="14"/>
  <c r="S72" i="14"/>
  <c r="R72" i="14"/>
  <c r="Q72" i="14"/>
  <c r="P72" i="14"/>
  <c r="M72" i="14"/>
  <c r="U71" i="14"/>
  <c r="T71" i="14"/>
  <c r="S71" i="14"/>
  <c r="R71" i="14"/>
  <c r="Q71" i="14"/>
  <c r="P71" i="14"/>
  <c r="M71" i="14"/>
  <c r="U70" i="14"/>
  <c r="T70" i="14"/>
  <c r="S70" i="14"/>
  <c r="R70" i="14"/>
  <c r="Q70" i="14"/>
  <c r="P70" i="14"/>
  <c r="M70" i="14"/>
  <c r="U69" i="14"/>
  <c r="T69" i="14"/>
  <c r="S69" i="14"/>
  <c r="R69" i="14"/>
  <c r="Q69" i="14"/>
  <c r="P69" i="14"/>
  <c r="M69" i="14"/>
  <c r="U68" i="14"/>
  <c r="T68" i="14"/>
  <c r="S68" i="14"/>
  <c r="R68" i="14"/>
  <c r="Q68" i="14"/>
  <c r="P68" i="14"/>
  <c r="M68" i="14"/>
  <c r="U67" i="14"/>
  <c r="T67" i="14"/>
  <c r="S67" i="14"/>
  <c r="R67" i="14"/>
  <c r="Q67" i="14"/>
  <c r="P67" i="14"/>
  <c r="M67" i="14"/>
  <c r="U66" i="14"/>
  <c r="T66" i="14"/>
  <c r="S66" i="14"/>
  <c r="R66" i="14"/>
  <c r="Q66" i="14"/>
  <c r="P66" i="14"/>
  <c r="M66" i="14"/>
  <c r="U65" i="14"/>
  <c r="T65" i="14"/>
  <c r="S65" i="14"/>
  <c r="R65" i="14"/>
  <c r="Q65" i="14"/>
  <c r="P65" i="14"/>
  <c r="M65" i="14"/>
  <c r="U64" i="14"/>
  <c r="T64" i="14"/>
  <c r="S64" i="14"/>
  <c r="R64" i="14"/>
  <c r="Q64" i="14"/>
  <c r="P64" i="14"/>
  <c r="M64" i="14"/>
  <c r="U63" i="14"/>
  <c r="T63" i="14"/>
  <c r="S63" i="14"/>
  <c r="R63" i="14"/>
  <c r="Q63" i="14"/>
  <c r="P63" i="14"/>
  <c r="M63" i="14"/>
  <c r="U62" i="14"/>
  <c r="T62" i="14"/>
  <c r="S62" i="14"/>
  <c r="R62" i="14"/>
  <c r="Q62" i="14"/>
  <c r="P62" i="14"/>
  <c r="M62" i="14"/>
  <c r="U61" i="14"/>
  <c r="T61" i="14"/>
  <c r="S61" i="14"/>
  <c r="R61" i="14"/>
  <c r="Q61" i="14"/>
  <c r="P61" i="14"/>
  <c r="M61" i="14"/>
  <c r="U60" i="14"/>
  <c r="T60" i="14"/>
  <c r="S60" i="14"/>
  <c r="R60" i="14"/>
  <c r="Q60" i="14"/>
  <c r="P60" i="14"/>
  <c r="M60" i="14"/>
  <c r="U59" i="14"/>
  <c r="T59" i="14"/>
  <c r="S59" i="14"/>
  <c r="R59" i="14"/>
  <c r="Q59" i="14"/>
  <c r="P59" i="14"/>
  <c r="M59" i="14"/>
  <c r="U58" i="14"/>
  <c r="T58" i="14"/>
  <c r="S58" i="14"/>
  <c r="R58" i="14"/>
  <c r="Q58" i="14"/>
  <c r="P58" i="14"/>
  <c r="M58" i="14"/>
  <c r="U57" i="14"/>
  <c r="T57" i="14"/>
  <c r="S57" i="14"/>
  <c r="R57" i="14"/>
  <c r="Q57" i="14"/>
  <c r="P57" i="14"/>
  <c r="M57" i="14"/>
  <c r="U56" i="14"/>
  <c r="T56" i="14"/>
  <c r="S56" i="14"/>
  <c r="R56" i="14"/>
  <c r="Q56" i="14"/>
  <c r="P56" i="14"/>
  <c r="M56" i="14"/>
  <c r="U55" i="14"/>
  <c r="T55" i="14"/>
  <c r="S55" i="14"/>
  <c r="R55" i="14"/>
  <c r="Q55" i="14"/>
  <c r="P55" i="14"/>
  <c r="M55" i="14"/>
  <c r="U54" i="14"/>
  <c r="T54" i="14"/>
  <c r="S54" i="14"/>
  <c r="R54" i="14"/>
  <c r="Q54" i="14"/>
  <c r="P54" i="14"/>
  <c r="M54" i="14"/>
  <c r="U53" i="14"/>
  <c r="T53" i="14"/>
  <c r="S53" i="14"/>
  <c r="R53" i="14"/>
  <c r="Q53" i="14"/>
  <c r="P53" i="14"/>
  <c r="M53" i="14"/>
  <c r="U52" i="14"/>
  <c r="T52" i="14"/>
  <c r="S52" i="14"/>
  <c r="R52" i="14"/>
  <c r="Q52" i="14"/>
  <c r="P52" i="14"/>
  <c r="M52" i="14"/>
  <c r="U51" i="14"/>
  <c r="T51" i="14"/>
  <c r="S51" i="14"/>
  <c r="R51" i="14"/>
  <c r="Q51" i="14"/>
  <c r="P51" i="14"/>
  <c r="M51" i="14"/>
  <c r="U50" i="14"/>
  <c r="T50" i="14"/>
  <c r="S50" i="14"/>
  <c r="R50" i="14"/>
  <c r="Q50" i="14"/>
  <c r="P50" i="14"/>
  <c r="M50" i="14"/>
  <c r="U49" i="14"/>
  <c r="T49" i="14"/>
  <c r="S49" i="14"/>
  <c r="R49" i="14"/>
  <c r="Q49" i="14"/>
  <c r="P49" i="14"/>
  <c r="M49" i="14"/>
  <c r="U48" i="14"/>
  <c r="T48" i="14"/>
  <c r="S48" i="14"/>
  <c r="R48" i="14"/>
  <c r="Q48" i="14"/>
  <c r="P48" i="14"/>
  <c r="M48" i="14"/>
  <c r="U47" i="14"/>
  <c r="T47" i="14"/>
  <c r="S47" i="14"/>
  <c r="R47" i="14"/>
  <c r="Q47" i="14"/>
  <c r="P47" i="14"/>
  <c r="M47" i="14"/>
  <c r="U46" i="14"/>
  <c r="T46" i="14"/>
  <c r="S46" i="14"/>
  <c r="R46" i="14"/>
  <c r="Q46" i="14"/>
  <c r="P46" i="14"/>
  <c r="M46" i="14"/>
  <c r="U45" i="14"/>
  <c r="T45" i="14"/>
  <c r="S45" i="14"/>
  <c r="R45" i="14"/>
  <c r="Q45" i="14"/>
  <c r="P45" i="14"/>
  <c r="M45" i="14"/>
  <c r="U44" i="14"/>
  <c r="T44" i="14"/>
  <c r="S44" i="14"/>
  <c r="R44" i="14"/>
  <c r="Q44" i="14"/>
  <c r="P44" i="14"/>
  <c r="M44" i="14"/>
  <c r="U43" i="14"/>
  <c r="T43" i="14"/>
  <c r="S43" i="14"/>
  <c r="R43" i="14"/>
  <c r="Q43" i="14"/>
  <c r="P43" i="14"/>
  <c r="M43" i="14"/>
  <c r="U42" i="14"/>
  <c r="T42" i="14"/>
  <c r="S42" i="14"/>
  <c r="R42" i="14"/>
  <c r="Q42" i="14"/>
  <c r="P42" i="14"/>
  <c r="M42" i="14"/>
  <c r="U41" i="14"/>
  <c r="T41" i="14"/>
  <c r="S41" i="14"/>
  <c r="R41" i="14"/>
  <c r="Q41" i="14"/>
  <c r="P41" i="14"/>
  <c r="M41" i="14"/>
  <c r="U40" i="14"/>
  <c r="T40" i="14"/>
  <c r="S40" i="14"/>
  <c r="R40" i="14"/>
  <c r="Q40" i="14"/>
  <c r="P40" i="14"/>
  <c r="M40" i="14"/>
  <c r="U39" i="14"/>
  <c r="T39" i="14"/>
  <c r="S39" i="14"/>
  <c r="R39" i="14"/>
  <c r="Q39" i="14"/>
  <c r="P39" i="14"/>
  <c r="M39" i="14"/>
  <c r="U38" i="14"/>
  <c r="T38" i="14"/>
  <c r="S38" i="14"/>
  <c r="R38" i="14"/>
  <c r="Q38" i="14"/>
  <c r="P38" i="14"/>
  <c r="M38" i="14"/>
  <c r="U37" i="14"/>
  <c r="T37" i="14"/>
  <c r="S37" i="14"/>
  <c r="R37" i="14"/>
  <c r="Q37" i="14"/>
  <c r="P37" i="14"/>
  <c r="M37" i="14"/>
  <c r="U36" i="14"/>
  <c r="T36" i="14"/>
  <c r="S36" i="14"/>
  <c r="R36" i="14"/>
  <c r="Q36" i="14"/>
  <c r="P36" i="14"/>
  <c r="M36" i="14"/>
  <c r="U35" i="14"/>
  <c r="T35" i="14"/>
  <c r="S35" i="14"/>
  <c r="R35" i="14"/>
  <c r="Q35" i="14"/>
  <c r="P35" i="14"/>
  <c r="M35" i="14"/>
  <c r="U34" i="14"/>
  <c r="T34" i="14"/>
  <c r="S34" i="14"/>
  <c r="R34" i="14"/>
  <c r="Q34" i="14"/>
  <c r="P34" i="14"/>
  <c r="M34" i="14"/>
  <c r="U33" i="14"/>
  <c r="T33" i="14"/>
  <c r="S33" i="14"/>
  <c r="R33" i="14"/>
  <c r="Q33" i="14"/>
  <c r="P33" i="14"/>
  <c r="M33" i="14"/>
  <c r="U32" i="14"/>
  <c r="T32" i="14"/>
  <c r="S32" i="14"/>
  <c r="R32" i="14"/>
  <c r="Q32" i="14"/>
  <c r="P32" i="14"/>
  <c r="M32" i="14"/>
  <c r="U31" i="14"/>
  <c r="T31" i="14"/>
  <c r="S31" i="14"/>
  <c r="R31" i="14"/>
  <c r="Q31" i="14"/>
  <c r="P31" i="14"/>
  <c r="M31" i="14"/>
  <c r="U30" i="14"/>
  <c r="T30" i="14"/>
  <c r="S30" i="14"/>
  <c r="R30" i="14"/>
  <c r="Q30" i="14"/>
  <c r="P30" i="14"/>
  <c r="M30" i="14"/>
  <c r="U29" i="14"/>
  <c r="T29" i="14"/>
  <c r="S29" i="14"/>
  <c r="R29" i="14"/>
  <c r="Q29" i="14"/>
  <c r="P29" i="14"/>
  <c r="M29" i="14"/>
  <c r="U28" i="14"/>
  <c r="T28" i="14"/>
  <c r="S28" i="14"/>
  <c r="R28" i="14"/>
  <c r="Q28" i="14"/>
  <c r="P28" i="14"/>
  <c r="M28" i="14"/>
  <c r="U27" i="14"/>
  <c r="T27" i="14"/>
  <c r="S27" i="14"/>
  <c r="R27" i="14"/>
  <c r="Q27" i="14"/>
  <c r="P27" i="14"/>
  <c r="M27" i="14"/>
  <c r="U26" i="14"/>
  <c r="T26" i="14"/>
  <c r="S26" i="14"/>
  <c r="R26" i="14"/>
  <c r="Q26" i="14"/>
  <c r="P26" i="14"/>
  <c r="M26" i="14"/>
  <c r="U25" i="14"/>
  <c r="T25" i="14"/>
  <c r="S25" i="14"/>
  <c r="R25" i="14"/>
  <c r="Q25" i="14"/>
  <c r="P25" i="14"/>
  <c r="M25" i="14"/>
  <c r="U24" i="14"/>
  <c r="T24" i="14"/>
  <c r="S24" i="14"/>
  <c r="R24" i="14"/>
  <c r="Q24" i="14"/>
  <c r="P24" i="14"/>
  <c r="M24" i="14"/>
  <c r="U23" i="14"/>
  <c r="T23" i="14"/>
  <c r="S23" i="14"/>
  <c r="R23" i="14"/>
  <c r="Q23" i="14"/>
  <c r="P23" i="14"/>
  <c r="M23" i="14"/>
  <c r="U22" i="14"/>
  <c r="T22" i="14"/>
  <c r="S22" i="14"/>
  <c r="R22" i="14"/>
  <c r="Q22" i="14"/>
  <c r="P22" i="14"/>
  <c r="M22" i="14"/>
  <c r="U21" i="14"/>
  <c r="T21" i="14"/>
  <c r="S21" i="14"/>
  <c r="R21" i="14"/>
  <c r="Q21" i="14"/>
  <c r="P21" i="14"/>
  <c r="M21" i="14"/>
  <c r="U20" i="14"/>
  <c r="T20" i="14"/>
  <c r="S20" i="14"/>
  <c r="R20" i="14"/>
  <c r="Q20" i="14"/>
  <c r="P20" i="14"/>
  <c r="M20" i="14"/>
  <c r="U19" i="14"/>
  <c r="T19" i="14"/>
  <c r="S19" i="14"/>
  <c r="R19" i="14"/>
  <c r="Q19" i="14"/>
  <c r="P19" i="14"/>
  <c r="M19" i="14"/>
  <c r="U18" i="14"/>
  <c r="T18" i="14"/>
  <c r="S18" i="14"/>
  <c r="R18" i="14"/>
  <c r="Q18" i="14"/>
  <c r="P18" i="14"/>
  <c r="M18" i="14"/>
  <c r="U17" i="14"/>
  <c r="T17" i="14"/>
  <c r="S17" i="14"/>
  <c r="R17" i="14"/>
  <c r="Q17" i="14"/>
  <c r="P17" i="14"/>
  <c r="M17" i="14"/>
  <c r="U16" i="14"/>
  <c r="T16" i="14"/>
  <c r="S16" i="14"/>
  <c r="R16" i="14"/>
  <c r="Q16" i="14"/>
  <c r="P16" i="14"/>
  <c r="M16" i="14"/>
  <c r="U15" i="14"/>
  <c r="T15" i="14"/>
  <c r="S15" i="14"/>
  <c r="R15" i="14"/>
  <c r="Q15" i="14"/>
  <c r="P15" i="14"/>
  <c r="M15" i="14"/>
  <c r="U14" i="14"/>
  <c r="T14" i="14"/>
  <c r="S14" i="14"/>
  <c r="R14" i="14"/>
  <c r="Q14" i="14"/>
  <c r="P14" i="14"/>
  <c r="M14" i="14"/>
  <c r="U13" i="14"/>
  <c r="T13" i="14"/>
  <c r="S13" i="14"/>
  <c r="R13" i="14"/>
  <c r="Q13" i="14"/>
  <c r="P13" i="14"/>
  <c r="M13" i="14"/>
  <c r="U12" i="14"/>
  <c r="T12" i="14"/>
  <c r="S12" i="14"/>
  <c r="R12" i="14"/>
  <c r="Q12" i="14"/>
  <c r="P12" i="14"/>
  <c r="M12" i="14"/>
  <c r="U11" i="14"/>
  <c r="T11" i="14"/>
  <c r="S11" i="14"/>
  <c r="R11" i="14"/>
  <c r="Q11" i="14"/>
  <c r="P11" i="14"/>
  <c r="M11" i="14"/>
  <c r="U10" i="14"/>
  <c r="T10" i="14"/>
  <c r="S10" i="14"/>
  <c r="R10" i="14"/>
  <c r="Q10" i="14"/>
  <c r="P10" i="14"/>
  <c r="M10" i="14"/>
  <c r="U9" i="14"/>
  <c r="T9" i="14"/>
  <c r="S9" i="14"/>
  <c r="R9" i="14"/>
  <c r="Q9" i="14"/>
  <c r="P9" i="14"/>
  <c r="M9" i="14"/>
  <c r="U8" i="14"/>
  <c r="T8" i="14"/>
  <c r="S8" i="14"/>
  <c r="R8" i="14"/>
  <c r="Q8" i="14"/>
  <c r="P8" i="14"/>
  <c r="M8" i="14"/>
  <c r="U7" i="14"/>
  <c r="T7" i="14"/>
  <c r="S7" i="14"/>
  <c r="R7" i="14"/>
  <c r="Q7" i="14"/>
  <c r="P7" i="14"/>
  <c r="M7" i="14"/>
  <c r="U6" i="14"/>
  <c r="T6" i="14"/>
  <c r="S6" i="14"/>
  <c r="R6" i="14"/>
  <c r="Q6" i="14"/>
  <c r="P6" i="14"/>
  <c r="O6" i="14"/>
  <c r="M6" i="14"/>
  <c r="L6" i="14"/>
  <c r="K6" i="14"/>
  <c r="U5" i="14"/>
  <c r="T5" i="14"/>
  <c r="S5" i="14"/>
  <c r="R5" i="14"/>
  <c r="Q5" i="14"/>
  <c r="P5" i="14"/>
  <c r="O5" i="14"/>
  <c r="M5" i="14"/>
  <c r="L5" i="14"/>
  <c r="K5" i="14"/>
  <c r="U4" i="14"/>
  <c r="T4" i="14"/>
  <c r="S4" i="14"/>
  <c r="R4" i="14"/>
  <c r="Q4" i="14"/>
  <c r="P4" i="14"/>
  <c r="O4" i="14"/>
  <c r="M4" i="14"/>
  <c r="L4" i="14"/>
  <c r="K4" i="14"/>
  <c r="U3" i="14"/>
  <c r="T3" i="14"/>
  <c r="S3" i="14"/>
  <c r="R3" i="14"/>
  <c r="Q3" i="14"/>
  <c r="P3" i="14"/>
  <c r="O3" i="14"/>
  <c r="M3" i="14"/>
  <c r="L3" i="14"/>
  <c r="K3" i="14"/>
  <c r="U2" i="14"/>
  <c r="T2" i="14"/>
  <c r="O2" i="14"/>
  <c r="M2" i="14"/>
  <c r="L2" i="14"/>
  <c r="K2" i="14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2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4" i="12"/>
  <c r="S3" i="12"/>
  <c r="S2" i="12"/>
  <c r="Q2" i="12"/>
  <c r="Q4" i="12"/>
  <c r="Q3" i="12"/>
  <c r="R2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3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P2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4" i="12"/>
  <c r="P3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O6" i="12"/>
  <c r="M6" i="12"/>
  <c r="L6" i="12"/>
  <c r="K6" i="12"/>
  <c r="O5" i="12"/>
  <c r="M5" i="12"/>
  <c r="L5" i="12"/>
  <c r="K5" i="12"/>
  <c r="O4" i="12"/>
  <c r="M4" i="12"/>
  <c r="L4" i="12"/>
  <c r="K4" i="12"/>
  <c r="O3" i="12"/>
  <c r="M3" i="12"/>
  <c r="L3" i="12"/>
  <c r="K3" i="12"/>
  <c r="O2" i="12"/>
  <c r="M2" i="12"/>
  <c r="L2" i="12"/>
  <c r="K2" i="12"/>
  <c r="O6" i="10"/>
  <c r="O5" i="10"/>
  <c r="O4" i="10"/>
  <c r="O3" i="10"/>
  <c r="O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3" i="10"/>
  <c r="M2" i="10"/>
  <c r="L6" i="10"/>
  <c r="K6" i="10"/>
  <c r="L5" i="10"/>
  <c r="K5" i="10"/>
  <c r="L4" i="10"/>
  <c r="K4" i="10"/>
  <c r="L3" i="10"/>
  <c r="K3" i="10"/>
  <c r="L2" i="10"/>
  <c r="K2" i="10"/>
  <c r="L6" i="8"/>
  <c r="L5" i="8"/>
  <c r="L4" i="8"/>
  <c r="L3" i="8"/>
  <c r="L2" i="8"/>
  <c r="K6" i="8"/>
  <c r="K5" i="8"/>
  <c r="K4" i="8"/>
  <c r="K3" i="8"/>
  <c r="K2" i="8"/>
  <c r="R2" i="14" l="1"/>
  <c r="S2" i="14"/>
  <c r="P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5E7385-31FC-4A0B-9A02-BDE33EDE3A3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<sst xmlns="http://schemas.openxmlformats.org/spreadsheetml/2006/main" count="15317" uniqueCount="418">
  <si>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</si>
  <si>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</si>
  <si>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</si>
  <si>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</si>
  <si>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</si>
  <si>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</si>
  <si>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</si>
  <si>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</si>
  <si>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</si>
  <si>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</si>
  <si>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</si>
  <si>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</si>
  <si>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</si>
  <si>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</si>
  <si>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</si>
  <si>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</si>
  <si>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</si>
  <si>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</si>
  <si>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</si>
  <si>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</si>
  <si>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</si>
  <si>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</si>
  <si>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</si>
  <si>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</si>
  <si>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</si>
  <si>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</si>
  <si>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</si>
  <si>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</si>
  <si>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</si>
  <si>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</si>
  <si>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</si>
  <si>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</si>
  <si>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</si>
  <si>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</si>
  <si>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</si>
  <si>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</si>
  <si>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</si>
  <si>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</si>
  <si>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</si>
  <si>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</si>
  <si>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</si>
  <si>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</si>
  <si>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</si>
  <si>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</si>
  <si>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</si>
  <si>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</si>
  <si>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</si>
  <si>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</si>
  <si>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</si>
  <si>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</si>
  <si>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</si>
  <si>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</si>
  <si>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</si>
  <si>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</si>
  <si>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</si>
  <si>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</si>
  <si>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</si>
  <si>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</si>
  <si>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</si>
  <si>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</si>
  <si>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</si>
  <si>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</si>
  <si>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</si>
  <si>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</si>
  <si>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</si>
  <si>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</si>
  <si>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</si>
  <si>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</si>
  <si>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</si>
  <si>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</si>
  <si>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</si>
  <si>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</si>
  <si>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</si>
  <si>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</si>
  <si>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</si>
  <si>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</si>
  <si>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</si>
  <si>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</si>
  <si>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</si>
  <si>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</si>
  <si>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</si>
  <si>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</si>
  <si>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</si>
  <si>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</si>
  <si>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</si>
  <si>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</si>
  <si>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</si>
  <si>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</si>
  <si>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</si>
  <si>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</si>
  <si>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</si>
  <si>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</si>
  <si>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</si>
  <si>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</si>
  <si>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</si>
  <si>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</si>
  <si>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</si>
  <si>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</si>
  <si>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</si>
  <si>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</si>
  <si>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</si>
  <si>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</si>
  <si>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</si>
  <si>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</si>
  <si>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</si>
  <si>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</si>
  <si>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</si>
  <si>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</si>
  <si>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</si>
  <si>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</si>
  <si>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</si>
  <si>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</si>
  <si>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</si>
  <si>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</si>
  <si>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</si>
  <si>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</si>
  <si>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</si>
  <si>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</si>
  <si>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</si>
  <si>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</si>
  <si>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</si>
  <si>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</si>
  <si>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</si>
  <si>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</si>
  <si>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</si>
  <si>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</si>
  <si>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</si>
  <si>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</si>
  <si>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</si>
  <si>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</si>
  <si>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</si>
  <si>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</si>
  <si>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</si>
  <si>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</si>
  <si>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</si>
  <si>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</si>
  <si>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</si>
  <si>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</si>
  <si>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</si>
  <si>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</si>
  <si>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</si>
  <si>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</si>
  <si>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</si>
  <si>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</si>
  <si>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</si>
  <si>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</si>
  <si>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</si>
  <si>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</si>
  <si>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</si>
  <si>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</si>
  <si>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</si>
  <si>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</si>
  <si>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</si>
  <si>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</si>
  <si>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</si>
  <si>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</si>
  <si>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</si>
  <si>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</si>
  <si>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</si>
  <si>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</si>
  <si>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</si>
  <si>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</si>
  <si>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</si>
  <si>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</si>
  <si>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</si>
  <si>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</si>
  <si>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</si>
  <si>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</si>
  <si>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</si>
  <si>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</si>
  <si>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</si>
  <si>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</si>
  <si>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</si>
  <si>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</si>
  <si>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</si>
  <si>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</si>
  <si>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</si>
  <si>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</si>
  <si>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</si>
  <si>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</si>
  <si>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</si>
  <si>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</si>
  <si>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</si>
  <si>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</si>
  <si>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</si>
  <si>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</si>
  <si>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</si>
  <si>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</si>
  <si>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</si>
  <si>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</si>
  <si>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</si>
  <si>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</si>
  <si>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</si>
  <si>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</si>
  <si>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</si>
  <si>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</si>
  <si>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</si>
  <si>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</si>
  <si>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</si>
  <si>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</si>
  <si>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</si>
  <si>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</si>
  <si>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</si>
  <si>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</si>
  <si>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</si>
  <si>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</si>
  <si>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</si>
  <si>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</si>
  <si>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</si>
  <si>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</si>
  <si>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</si>
  <si>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</si>
  <si>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</si>
  <si>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</si>
  <si>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</si>
  <si>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</si>
  <si>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</si>
  <si>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</si>
  <si>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</si>
  <si>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</si>
  <si>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</si>
  <si>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</si>
  <si>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</si>
  <si>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</si>
  <si>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</si>
  <si>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</si>
  <si>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</si>
  <si>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</si>
  <si>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</si>
  <si>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</si>
  <si>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</si>
  <si>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</si>
  <si>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</si>
  <si>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</si>
  <si>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</si>
  <si>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</si>
  <si>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</si>
  <si>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</si>
  <si>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</si>
  <si>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</si>
  <si>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</si>
  <si>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</si>
  <si>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</si>
  <si>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</si>
  <si>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</si>
  <si>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</si>
  <si>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</si>
  <si>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</si>
  <si>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</si>
  <si>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</si>
  <si>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</si>
  <si>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</si>
  <si>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</si>
  <si>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</si>
  <si>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</si>
  <si>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</si>
  <si>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</si>
  <si>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</si>
  <si>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</si>
  <si>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</si>
  <si>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</si>
  <si>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</si>
  <si>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</si>
  <si>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</si>
  <si>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</si>
  <si>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</si>
  <si>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</si>
  <si>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</si>
  <si>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</si>
  <si>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</si>
  <si>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</si>
  <si>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</si>
  <si>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</si>
  <si>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</si>
  <si>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</si>
  <si>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</si>
  <si>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</si>
  <si>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</si>
  <si>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</si>
  <si>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</si>
  <si>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</si>
  <si>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</si>
  <si>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</si>
  <si>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</si>
  <si>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</si>
  <si>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</si>
  <si>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</si>
  <si>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</si>
  <si>
    <t>s</t>
  </si>
  <si>
    <t>Day 2 – Data Entry &amp; Formatting</t>
  </si>
  <si>
    <t>The header row was formatted using bold text, background color, and center alignment.</t>
  </si>
  <si>
    <t>Row and column insertion and deletion were practiced without changing the employee data.</t>
  </si>
  <si>
    <t>Column widths were adjusted to make the employee information easier to read.</t>
  </si>
  <si>
    <t>The dataset was organized and formatted to improve readability for further analysis.</t>
  </si>
  <si>
    <t>Metric</t>
  </si>
  <si>
    <t>Total Salary</t>
  </si>
  <si>
    <t xml:space="preserve"> Average Salary</t>
  </si>
  <si>
    <t xml:space="preserve"> Minimum Salary</t>
  </si>
  <si>
    <t xml:space="preserve"> Maximum Salary</t>
  </si>
  <si>
    <t>Count Salary</t>
  </si>
  <si>
    <t>Day 3 – Basic Excel Formulas (Part 1)</t>
  </si>
  <si>
    <t>The SUM function was used to calculate the total Salary and Performance Rating.</t>
  </si>
  <si>
    <t>The AVERAGE function was used to calculate the average Salary and Performance Rating.</t>
  </si>
  <si>
    <t>The MIN and MAX functions were used to identify the minimum and maximum values.</t>
  </si>
  <si>
    <t>The COUNT function counted the numeric values in the Salary and Performance Rating columns.</t>
  </si>
  <si>
    <t>Salary Category</t>
  </si>
  <si>
    <t>Condition</t>
  </si>
  <si>
    <t>Count</t>
  </si>
  <si>
    <t>Salary &gt;= 70000</t>
  </si>
  <si>
    <t>Performance Rating &gt;= 4</t>
  </si>
  <si>
    <t>Department = IT</t>
  </si>
  <si>
    <t>Total Salary - IT</t>
  </si>
  <si>
    <t>Average Salary - IT</t>
  </si>
  <si>
    <t>Day 4 – Basic Excel Formulas (Part 2)</t>
  </si>
  <si>
    <t>The IF function was used to categorize employees based on their salary.</t>
  </si>
  <si>
    <t>The COUNTIF function was used to count employees based on specific conditions.</t>
  </si>
  <si>
    <t>The SUMIF function was used to calculate the total salary for employees in the IT department.</t>
  </si>
  <si>
    <t>The AVERAGEIF function was used to calculate the average salary for employees in the IT department.</t>
  </si>
  <si>
    <t>No</t>
  </si>
  <si>
    <t>First 3 Characters</t>
  </si>
  <si>
    <t>Last 3 Characters</t>
  </si>
  <si>
    <t>Middle Characters</t>
  </si>
  <si>
    <t>Uppercase Name</t>
  </si>
  <si>
    <t>Lowercase Department</t>
  </si>
  <si>
    <t>Proper Department</t>
  </si>
  <si>
    <t>Day 5 – Text Functions Practice</t>
  </si>
  <si>
    <t>The LEFT function was used to extract characters from the beginning of employee names.</t>
  </si>
  <si>
    <t>The RIGHT function was used to extract characters from the end of employee names.</t>
  </si>
  <si>
    <t>The MID function was used to extract characters from the middle of employee names.</t>
  </si>
  <si>
    <t>The UPPER, LOWER, and PROPER functions were used to format text consistently.</t>
  </si>
  <si>
    <t>Day 6 – Data Validation &amp; Cleaning Intro</t>
  </si>
  <si>
    <t>No duplicate records were found in the dataset.</t>
  </si>
  <si>
    <t>Blank Name, Department, Country, Date of Joining, Performance Rating, and Gender values were identified and handled using Unknown.</t>
  </si>
  <si>
    <t>Missing Salary values represented as N/A were handled using Unknown.</t>
  </si>
  <si>
    <t>Invalid Email values were identified and replaced with Unknown.</t>
  </si>
  <si>
    <t>Day 7 – Power Query Introduction</t>
  </si>
  <si>
    <t>The Employee Details dataset was loaded into Power Query for data transformation.</t>
  </si>
  <si>
    <t>The dataset contained 9 columns and 150 employee records.</t>
  </si>
  <si>
    <t>Duplicate records were checked and removed using the Remove Duplicates option in Power Query.</t>
  </si>
  <si>
    <t>The cleaned data was successfully loaded back into Excel using Close &amp; Load.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</si>
  <si>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</si>
  <si>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</si>
  <si>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</si>
  <si>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</si>
  <si>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</si>
  <si>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</si>
  <si>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</si>
  <si>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</si>
  <si>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</si>
  <si>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</si>
  <si>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</si>
  <si>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</si>
  <si>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</si>
  <si>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</si>
  <si>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First Name</t>
  </si>
  <si>
    <t>Last Name</t>
  </si>
  <si>
    <t>Trimmed Name</t>
  </si>
  <si>
    <t>Flash Fill First Name</t>
  </si>
  <si>
    <t>UnKnown</t>
  </si>
  <si>
    <t>Day 8 – Handling Inconsistent Data</t>
  </si>
  <si>
    <t>The Text to Columns feature was used to split the Name column into First Name and Last Name.</t>
  </si>
  <si>
    <t>The TRIM function was used to remove unnecessary spaces from the Name values.</t>
  </si>
  <si>
    <t>Flash Fill was used to automatically extract First Names based on the given pattern.</t>
  </si>
  <si>
    <t>The text data was cleaned and organized into separate columns for easier analysis.</t>
  </si>
  <si>
    <t>Day 9 – Conditional Formatting for Data Cleaning</t>
  </si>
  <si>
    <t>Duplicate values were checked in the Employee ID column, and no duplicate Employee IDs were found.</t>
  </si>
  <si>
    <t>Salary values greater than 90,000 were highlighted to flag potential high-value outliers.</t>
  </si>
  <si>
    <t>Color-based formatting made potential data-quality issues easier to identify visually.</t>
  </si>
  <si>
    <t>Conditional Formatting was used to visually highlight missing or unavailable values represented by Unknown.</t>
  </si>
  <si>
    <t>Numeric Salary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</si>
  <si>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</si>
  <si>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</si>
  <si>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</si>
  <si>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</si>
  <si>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</si>
  <si>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</si>
  <si>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</si>
  <si>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</si>
  <si>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</si>
  <si>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</si>
  <si>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</si>
  <si>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</si>
  <si>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Numeric Performance Rating</t>
  </si>
  <si>
    <t>Day 10 – Descriptive Statistics</t>
  </si>
  <si>
    <t>Descriptive Statistics was generated for the Salary column using the Analysis ToolPak.</t>
  </si>
  <si>
    <t>The Salary data had a Mean of 66,280.93 and a Median of 66,637.</t>
  </si>
  <si>
    <t>The Standard Deviation of Salary was 21,632.65, based on 142 numeric salary values.</t>
  </si>
  <si>
    <t>Descriptive Statistics was also generated for Performance Rating, with a Mean of 2.872, Median of 3, and Standard Deviation of 1.4432.</t>
  </si>
  <si>
    <t>Top 5 Performers</t>
  </si>
  <si>
    <t>Bottom 5 Performers</t>
  </si>
  <si>
    <t>Day 11 – Filtering, Sorting &amp; Exploring Data</t>
  </si>
  <si>
    <t>1. The Top 5 performers all have a Performance Rating of 5.</t>
  </si>
  <si>
    <t>2. The Bottom 5 performers all have a Performance Rating of 1.</t>
  </si>
  <si>
    <t>3. Performance Rating values range from 1 to 5 among the numeric ratings.</t>
  </si>
  <si>
    <t>4. Some employee records contain Unknown values in other fields such as Department, Country, Salary, Gender, or Email.</t>
  </si>
  <si>
    <t>Observations</t>
  </si>
  <si>
    <t>TODAY</t>
  </si>
  <si>
    <t>NOW</t>
  </si>
  <si>
    <t>Joining Year</t>
  </si>
  <si>
    <t>Weekday</t>
  </si>
  <si>
    <t>Years of Service</t>
  </si>
  <si>
    <t>Joining Month</t>
  </si>
  <si>
    <t>Day 12 – Date &amp; Time Functions</t>
  </si>
  <si>
    <t>1. TODAY() was used to display the current date.</t>
  </si>
  <si>
    <t>2. NOW() was used to display the current date and time.</t>
  </si>
  <si>
    <t>3. YEAR(), MONTH(), and WEEKDAY() were used to extract year, month, and weekday values from Date of Joining.</t>
  </si>
  <si>
    <t>4. DATEDIF() was used with TODAY() to calculate completed years of service, while Unknown values were handled separately.</t>
  </si>
  <si>
    <t>Observations.</t>
  </si>
  <si>
    <t>Day 13 – Lookup &amp; Reference Functions (Part 1)</t>
  </si>
  <si>
    <t>1. VLOOKUP() was used to retrieve employee details based on Employee ID.</t>
  </si>
  <si>
    <t>2. Employee Name, Department, Country, Salary, Date of Joining, Performance Rating, Gender, and Email were retrieved from the Day-13 Clean Dataset.</t>
  </si>
  <si>
    <t>3. The VLOOKUP results matched the corresponding Employee IDs in the original dataset.</t>
  </si>
  <si>
    <t>4. Unknown values were retained where the source dataset contained Unknown values.</t>
  </si>
  <si>
    <t xml:space="preserve">Day 14 – INDEX(), MATCH() Functions (Part 2) </t>
  </si>
  <si>
    <t>1.The Employee ID and Department information was prepared in a related table for lookup purposes.</t>
  </si>
  <si>
    <t>2.INDEX() was used to return the Department value from the related table.</t>
  </si>
  <si>
    <t>3.MATCH() was used to find the correct Employee ID in the related table.</t>
  </si>
  <si>
    <t>5.INDEX() and MATCH() were combined to fill the missing Department values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</si>
</sst>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5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1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2" fillId="2" borderId="1" xfId="1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  <xf numFmtId="0" fontId="3" fillId="0" borderId="0" xfId="0" applyFont="1"/>
    <xf numFmtId="0" fontId="3" fillId="4" borderId="1" xfId="2" applyFont="1" applyBorder="1" applyAlignment="1">
      <alignment horizontal="center" vertical="center"/>
    </xf>
    <xf numFmtId="0" fontId="3" fillId="5" borderId="1" xfId="3" applyFont="1" applyBorder="1" applyAlignment="1">
      <alignment horizontal="center" vertical="center"/>
    </xf>
    <xf numFmtId="0" fontId="4" fillId="6" borderId="1" xfId="4" applyFont="1" applyBorder="1" applyAlignment="1">
      <alignment horizontal="center" vertical="center"/>
    </xf>
    <xf numFmtId="0" fontId="4" fillId="6" borderId="1" xfId="4" applyFont="1" applyBorder="1" applyAlignment="1">
      <alignment horizontal="center" vertical="center" wrapText="1"/>
    </xf>
    <xf numFmtId="0" fontId="3" fillId="6" borderId="1" xfId="4" applyFont="1" applyBorder="1" applyAlignment="1">
      <alignment horizontal="center" vertical="center" wrapText="1"/>
    </xf>
    <xf numFmtId="0" fontId="2" fillId="2" borderId="1" xfId="1" applyBorder="1" applyAlignment="1">
      <alignment horizontal="center" vertical="center"/>
    </xf>
    <xf numFmtId="164" fontId="2" fillId="2" borderId="1" xfId="1" applyNumberFormat="1" applyBorder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164" fontId="2" fillId="0" borderId="0" xfId="1" applyNumberFormat="1" applyFill="1" applyBorder="1" applyAlignment="1">
      <alignment horizontal="center" vertical="center"/>
    </xf>
    <xf numFmtId="0" fontId="4" fillId="7" borderId="1" xfId="5" applyFont="1" applyBorder="1" applyAlignment="1">
      <alignment horizontal="center" vertical="center"/>
    </xf>
    <xf numFmtId="0" fontId="3" fillId="7" borderId="1" xfId="5" applyFont="1" applyBorder="1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vertical="center"/>
    </xf>
    <xf numFmtId="0" fontId="0" fillId="0" borderId="0" xfId="0" applyAlignment="1">
      <alignment horizontal="center"/>
    </xf>
    <xf numFmtId="14" fontId="1" fillId="3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4" fillId="5" borderId="4" xfId="3" applyFont="1" applyBorder="1" applyAlignment="1">
      <alignment horizontal="center" vertical="center"/>
    </xf>
    <xf numFmtId="0" fontId="4" fillId="5" borderId="5" xfId="3" applyFont="1" applyBorder="1" applyAlignment="1">
      <alignment horizontal="center" vertical="center"/>
    </xf>
    <xf numFmtId="0" fontId="4" fillId="5" borderId="6" xfId="3" applyFont="1" applyBorder="1" applyAlignment="1">
      <alignment horizontal="center" vertical="center"/>
    </xf>
    <xf numFmtId="0" fontId="4" fillId="5" borderId="7" xfId="3" applyFont="1" applyBorder="1" applyAlignment="1">
      <alignment horizontal="center" vertical="center"/>
    </xf>
    <xf numFmtId="0" fontId="4" fillId="4" borderId="1" xfId="2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2" borderId="4" xfId="1" applyFont="1" applyBorder="1" applyAlignment="1">
      <alignment horizontal="center" vertical="center"/>
    </xf>
    <xf numFmtId="0" fontId="1" fillId="2" borderId="8" xfId="1" applyFont="1" applyBorder="1" applyAlignment="1">
      <alignment horizontal="center" vertical="center"/>
    </xf>
    <xf numFmtId="0" fontId="1" fillId="2" borderId="5" xfId="1" applyFont="1" applyBorder="1" applyAlignment="1">
      <alignment horizontal="center" vertical="center"/>
    </xf>
    <xf numFmtId="0" fontId="1" fillId="2" borderId="6" xfId="1" applyFont="1" applyBorder="1" applyAlignment="1">
      <alignment horizontal="center" vertical="center"/>
    </xf>
    <xf numFmtId="0" fontId="1" fillId="2" borderId="9" xfId="1" applyFont="1" applyBorder="1" applyAlignment="1">
      <alignment horizontal="center" vertical="center"/>
    </xf>
    <xf numFmtId="0" fontId="1" fillId="2" borderId="7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2" borderId="1" xfId="1" applyFont="1" applyBorder="1"/>
  </cellXfs>
  <cellStyles count="6">
    <cellStyle name="40% - Accent1" xfId="5" builtinId="31"/>
    <cellStyle name="40% - Accent3" xfId="1" builtinId="39"/>
    <cellStyle name="40% - Accent6" xfId="4" builtinId="51"/>
    <cellStyle name="60% - Accent3" xfId="2" builtinId="40"/>
    <cellStyle name="60% - Accent5" xfId="3" builtinId="48"/>
    <cellStyle name="Normal" xfId="0" builtinId="0"/>
  </cellStyles>
  <dxfs count="44"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1680B1-08C6-4382-B973-5D385179ED42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721D6-AA6C-4F44-9236-207EE5A5A8C6}" name="Table1" displayName="Table1" ref="A1:I151" totalsRowShown="0" headerRowDxfId="43" dataDxfId="41" headerRowBorderDxfId="42" tableBorderDxfId="40">
  <autoFilter ref="A1:I151" xr:uid="{E9A721D6-AA6C-4F44-9236-207EE5A5A8C6}"/>
  <tableColumns count="9">
    <tableColumn id="1" xr3:uid="{029C764B-37A6-46D6-97B0-D615DDC6B955}" name="Employee ID" dataDxfId="39"/>
    <tableColumn id="2" xr3:uid="{D5E8EB54-8C81-4443-B44D-475CEB9381C2}" name="Name" dataDxfId="38"/>
    <tableColumn id="3" xr3:uid="{DDCB7D6A-0DEE-4F8C-8776-9E3D0349618E}" name="Department" dataDxfId="37"/>
    <tableColumn id="4" xr3:uid="{9BC4C251-8160-41F5-8F7C-CF81F1651692}" name="Country" dataDxfId="36"/>
    <tableColumn id="5" xr3:uid="{1E961D46-29E6-4DC8-B3A6-E0F335B75AE5}" name="Salary" dataDxfId="35"/>
    <tableColumn id="6" xr3:uid="{BB993C3D-1A80-4F58-8E93-89B3312F4E0C}" name="Date of Joining" dataDxfId="34"/>
    <tableColumn id="7" xr3:uid="{C3A0EBFC-FE54-49B7-BC21-41D9C8A5984A}" name="Performance Rating" dataDxfId="33"/>
    <tableColumn id="8" xr3:uid="{0F1AA13D-E2DE-45A5-B16C-6B8824DF5F79}" name="Gender" dataDxfId="32"/>
    <tableColumn id="9" xr3:uid="{5D88DF47-0D36-4B3F-8846-960C9AA04BC2}" name="Email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F9ECFF-61EB-468F-BE0D-69A59E66AE9F}" name="Table1_1" displayName="Table1_1" ref="A1:I151" tableType="queryTable" totalsRowShown="0" headerRowDxfId="30" dataDxfId="29">
  <autoFilter ref="A1:I151" xr:uid="{CCF9ECFF-61EB-468F-BE0D-69A59E66AE9F}"/>
  <tableColumns count="9">
    <tableColumn id="1" xr3:uid="{380E61C5-ED4F-456E-A974-B522A3B528CD}" uniqueName="1" name="Employee ID" queryTableFieldId="1" dataDxfId="28"/>
    <tableColumn id="2" xr3:uid="{A0039623-9210-4CFC-95C8-DD6B21CDAFB1}" uniqueName="2" name="Name" queryTableFieldId="2" dataDxfId="27"/>
    <tableColumn id="3" xr3:uid="{3819AD74-6C94-434C-9268-7BF3DB56E383}" uniqueName="3" name="Department" queryTableFieldId="3" dataDxfId="26"/>
    <tableColumn id="4" xr3:uid="{ACA43FAD-164E-46A0-8E91-6AF5585C13C7}" uniqueName="4" name="Country" queryTableFieldId="4" dataDxfId="25"/>
    <tableColumn id="5" xr3:uid="{C8273371-5216-460E-AF71-804A8AEC5B74}" uniqueName="5" name="Salary" queryTableFieldId="5" dataDxfId="24"/>
    <tableColumn id="6" xr3:uid="{DB73D7A2-9357-48E9-9DC5-178740882A35}" uniqueName="6" name="Date of Joining" queryTableFieldId="6" dataDxfId="23"/>
    <tableColumn id="7" xr3:uid="{6D24D847-CF27-4EE8-B081-FFB1BAA729A4}" uniqueName="7" name="Performance Rating" queryTableFieldId="7" dataDxfId="22"/>
    <tableColumn id="8" xr3:uid="{21A70B1F-E195-4704-BCC8-156FBB4BF612}" uniqueName="8" name="Gender" queryTableFieldId="8" dataDxfId="21"/>
    <tableColumn id="9" xr3:uid="{FF761B5D-39E2-4ED6-8CF8-A6570C3B5F99}" uniqueName="9" name="Email" queryTableFieldId="9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14CCC8-5475-4C14-87A6-2BDE728B5BCA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aa4e5569-9ed7-4f0b-9c5c-336674426e2a&quot;"/>
  </we:properties>
  <we:bindings/>
  <we:snapshot xmlns:r="http://schemas.openxmlformats.org/officeDocument/2006/relationships"/>
</we:webextension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2" workbookViewId="0">
      <selection activeCell="A2" sqref="A2:B15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opLeftCell="A125" workbookViewId="0">
      <selection activeCell="L131" sqref="L13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G4:K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11" ht="34.950000000000003" customHeight="1" x14ac:dyDescent="0.3">
      <c r="G4" s="3"/>
      <c r="H4" s="4" t="s">
        <v>281</v>
      </c>
    </row>
    <row r="5" spans="7:11" ht="34.950000000000003" customHeight="1" x14ac:dyDescent="0.3">
      <c r="G5" s="5" t="s">
        <v>282</v>
      </c>
      <c r="H5" s="5" t="s">
        <v>283</v>
      </c>
    </row>
    <row r="6" spans="7:11" ht="34.950000000000003" customHeight="1" x14ac:dyDescent="0.3">
      <c r="G6" s="6">
        <v>1</v>
      </c>
      <c r="H6" s="6" t="s">
        <v>284</v>
      </c>
    </row>
    <row r="7" spans="7:11" ht="34.950000000000003" customHeight="1" x14ac:dyDescent="0.3">
      <c r="G7" s="6">
        <v>2</v>
      </c>
      <c r="H7" s="6" t="s">
        <v>285</v>
      </c>
    </row>
    <row r="8" spans="7:11" ht="34.950000000000003" customHeight="1" x14ac:dyDescent="0.3">
      <c r="G8" s="6">
        <v>3</v>
      </c>
      <c r="H8" s="6" t="s">
        <v>286</v>
      </c>
      <c r="K8" t="s">
        <v>288</v>
      </c>
    </row>
    <row r="9" spans="7:11" ht="34.950000000000003" customHeight="1" x14ac:dyDescent="0.3">
      <c r="G9" s="6">
        <v>4</v>
      </c>
      <c r="H9" s="6" t="s">
        <v>287</v>
      </c>
    </row>
    <row r="10" spans="7:11" ht="30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F881-E330-49E3-8B87-0E16D6208E16}">
  <sheetPr>
    <tabColor rgb="FFFFC000"/>
  </sheetPr>
  <dimension ref="A1:I151"/>
  <sheetViews>
    <sheetView workbookViewId="0">
      <selection activeCell="K3" sqref="K3"/>
    </sheetView>
  </sheetViews>
  <sheetFormatPr defaultRowHeight="14.4" x14ac:dyDescent="0.3"/>
  <cols>
    <col min="1" max="1" width="17.77734375" customWidth="1"/>
    <col min="2" max="2" width="19.77734375" customWidth="1"/>
    <col min="3" max="3" width="19.6640625" customWidth="1"/>
    <col min="4" max="4" width="17.21875" customWidth="1"/>
    <col min="5" max="5" width="15.33203125" customWidth="1"/>
    <col min="6" max="6" width="24.6640625" customWidth="1"/>
    <col min="7" max="7" width="22.44140625" customWidth="1"/>
    <col min="8" max="8" width="14" customWidth="1"/>
    <col min="9" max="9" width="32.886718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ht="19.9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ht="19.9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ht="19.9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ht="19.9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ht="19.9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F0FF-B4AE-4BB3-B061-211F6EF0019C}">
  <sheetPr>
    <tabColor theme="8"/>
  </sheetPr>
  <dimension ref="F3:G8"/>
  <sheetViews>
    <sheetView topLeftCell="F1" workbookViewId="0">
      <selection activeCell="I7" sqref="I7"/>
    </sheetView>
  </sheetViews>
  <sheetFormatPr defaultRowHeight="14.4" x14ac:dyDescent="0.3"/>
  <cols>
    <col min="7" max="7" width="89.44140625" customWidth="1"/>
  </cols>
  <sheetData>
    <row r="3" spans="6:7" ht="34.950000000000003" customHeight="1" x14ac:dyDescent="0.3">
      <c r="F3" s="3"/>
      <c r="G3" s="4" t="s">
        <v>289</v>
      </c>
    </row>
    <row r="4" spans="6:7" ht="34.950000000000003" customHeight="1" x14ac:dyDescent="0.3">
      <c r="F4" s="5" t="s">
        <v>282</v>
      </c>
      <c r="G4" s="5" t="s">
        <v>283</v>
      </c>
    </row>
    <row r="5" spans="6:7" ht="34.950000000000003" customHeight="1" x14ac:dyDescent="0.3">
      <c r="F5" s="6">
        <v>1</v>
      </c>
      <c r="G5" s="6" t="s">
        <v>290</v>
      </c>
    </row>
    <row r="6" spans="6:7" ht="34.950000000000003" customHeight="1" x14ac:dyDescent="0.3">
      <c r="F6" s="6">
        <v>2</v>
      </c>
      <c r="G6" s="6" t="s">
        <v>291</v>
      </c>
    </row>
    <row r="7" spans="6:7" ht="34.950000000000003" customHeight="1" x14ac:dyDescent="0.3">
      <c r="F7" s="6">
        <v>3</v>
      </c>
      <c r="G7" s="6" t="s">
        <v>292</v>
      </c>
    </row>
    <row r="8" spans="6:7" ht="34.950000000000003" customHeight="1" x14ac:dyDescent="0.3">
      <c r="F8" s="6">
        <v>4</v>
      </c>
      <c r="G8" s="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E1F-8D98-47B6-BFE6-8EC46960A14E}">
  <sheetPr>
    <tabColor rgb="FFFFC000"/>
  </sheetPr>
  <dimension ref="A1:L151"/>
  <sheetViews>
    <sheetView topLeftCell="F1" workbookViewId="0">
      <selection activeCell="N143" sqref="N143"/>
    </sheetView>
  </sheetViews>
  <sheetFormatPr defaultRowHeight="14.4" x14ac:dyDescent="0.3"/>
  <cols>
    <col min="1" max="1" width="20" customWidth="1"/>
    <col min="2" max="2" width="23.77734375" customWidth="1"/>
    <col min="3" max="3" width="14.109375" customWidth="1"/>
    <col min="4" max="4" width="15" customWidth="1"/>
    <col min="5" max="5" width="11.77734375" customWidth="1"/>
    <col min="6" max="6" width="24.6640625" customWidth="1"/>
    <col min="7" max="7" width="22.109375" customWidth="1"/>
    <col min="8" max="8" width="16.88671875" customWidth="1"/>
    <col min="9" max="12" width="31.44140625" customWidth="1"/>
  </cols>
  <sheetData>
    <row r="1" spans="1:12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</row>
    <row r="2" spans="1:12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</row>
    <row r="3" spans="1:12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</row>
    <row r="4" spans="1:12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</row>
    <row r="5" spans="1:12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</row>
    <row r="6" spans="1:12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</row>
    <row r="7" spans="1:12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</row>
    <row r="8" spans="1:12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</row>
    <row r="9" spans="1:12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</row>
    <row r="10" spans="1:12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</row>
    <row r="11" spans="1:12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</row>
    <row r="12" spans="1:12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</row>
    <row r="13" spans="1:12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</row>
    <row r="14" spans="1:12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</row>
    <row r="15" spans="1:12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</row>
    <row r="16" spans="1:12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</row>
    <row r="17" spans="1:12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</row>
    <row r="18" spans="1:12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</row>
    <row r="19" spans="1:12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</row>
    <row r="20" spans="1:12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</row>
    <row r="21" spans="1:12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</row>
    <row r="22" spans="1:12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</row>
    <row r="23" spans="1:12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</row>
    <row r="24" spans="1:12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</row>
    <row r="25" spans="1:12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</row>
    <row r="26" spans="1:12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</row>
    <row r="27" spans="1:12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</row>
    <row r="28" spans="1:12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</row>
    <row r="29" spans="1:12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</row>
    <row r="30" spans="1:12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</row>
    <row r="31" spans="1:12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</row>
    <row r="32" spans="1:12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</row>
    <row r="33" spans="1:12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</row>
    <row r="34" spans="1:12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</row>
    <row r="35" spans="1:12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</row>
    <row r="36" spans="1:12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</row>
    <row r="37" spans="1:12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</row>
    <row r="38" spans="1:12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</row>
    <row r="39" spans="1:12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</row>
    <row r="40" spans="1:12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</row>
    <row r="41" spans="1:12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</row>
    <row r="42" spans="1:12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</row>
    <row r="43" spans="1:12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</row>
    <row r="44" spans="1:12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</row>
    <row r="45" spans="1:12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</row>
    <row r="46" spans="1:12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</row>
    <row r="47" spans="1:12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</row>
    <row r="48" spans="1:12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</row>
    <row r="49" spans="1:12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</row>
    <row r="50" spans="1:12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</row>
    <row r="51" spans="1:12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</row>
    <row r="52" spans="1:12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</row>
    <row r="53" spans="1:12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</row>
    <row r="54" spans="1:12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</row>
    <row r="55" spans="1:12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</row>
    <row r="56" spans="1:12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</row>
    <row r="57" spans="1:12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</row>
    <row r="58" spans="1:12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</row>
    <row r="59" spans="1:12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</row>
    <row r="60" spans="1:12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</row>
    <row r="61" spans="1:12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</row>
    <row r="62" spans="1:12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</row>
    <row r="63" spans="1:12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</row>
    <row r="64" spans="1:12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</row>
    <row r="65" spans="1:12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</row>
    <row r="66" spans="1:12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</row>
    <row r="67" spans="1:12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</row>
    <row r="68" spans="1:12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</row>
    <row r="69" spans="1:12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</row>
    <row r="70" spans="1:12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</row>
    <row r="71" spans="1:12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</row>
    <row r="72" spans="1:12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</row>
    <row r="73" spans="1:12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</row>
    <row r="74" spans="1:12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</row>
    <row r="75" spans="1:12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</row>
    <row r="76" spans="1:12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</row>
    <row r="77" spans="1:12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</row>
    <row r="78" spans="1:12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</row>
    <row r="79" spans="1:12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</row>
    <row r="80" spans="1:12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</row>
    <row r="81" spans="1:12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</row>
    <row r="82" spans="1:12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</row>
    <row r="83" spans="1:12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</row>
    <row r="84" spans="1:12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</row>
    <row r="85" spans="1:12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</row>
    <row r="86" spans="1:12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</row>
    <row r="87" spans="1:12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</row>
    <row r="88" spans="1:12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</row>
    <row r="89" spans="1:12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</row>
    <row r="90" spans="1:12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</row>
    <row r="91" spans="1:12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</row>
    <row r="92" spans="1:12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</row>
    <row r="93" spans="1:12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</row>
    <row r="94" spans="1:12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</row>
    <row r="95" spans="1:12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</row>
    <row r="96" spans="1:12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</row>
    <row r="97" spans="1:12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</row>
    <row r="98" spans="1:12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</row>
    <row r="99" spans="1:12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</row>
    <row r="100" spans="1:12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</row>
    <row r="101" spans="1:12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</row>
    <row r="102" spans="1:12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</row>
    <row r="103" spans="1:12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</row>
    <row r="104" spans="1:12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</row>
    <row r="105" spans="1:12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</row>
    <row r="106" spans="1:12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</row>
    <row r="107" spans="1:12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</row>
    <row r="108" spans="1:12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</row>
    <row r="109" spans="1:12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</row>
    <row r="110" spans="1:12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</row>
    <row r="111" spans="1:12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</row>
    <row r="112" spans="1:12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</row>
    <row r="113" spans="1:12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</row>
    <row r="114" spans="1:12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</row>
    <row r="115" spans="1:12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</row>
    <row r="116" spans="1:12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</row>
    <row r="117" spans="1:12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</row>
    <row r="118" spans="1:12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</row>
    <row r="119" spans="1:12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</row>
    <row r="120" spans="1:12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</row>
    <row r="121" spans="1:12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</row>
    <row r="122" spans="1:12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</row>
    <row r="123" spans="1:12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</row>
    <row r="124" spans="1:12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</row>
    <row r="125" spans="1:12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</row>
    <row r="126" spans="1:12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</row>
    <row r="127" spans="1:12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</row>
    <row r="128" spans="1:12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</row>
    <row r="129" spans="1:12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</row>
    <row r="130" spans="1:12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</row>
    <row r="131" spans="1:12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</row>
    <row r="132" spans="1:12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</row>
    <row r="133" spans="1:12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</row>
    <row r="134" spans="1:12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</row>
    <row r="135" spans="1:12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</row>
    <row r="136" spans="1:12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</row>
    <row r="137" spans="1:12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</row>
    <row r="138" spans="1:12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</row>
    <row r="139" spans="1:12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</row>
    <row r="140" spans="1:12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</row>
    <row r="141" spans="1:12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</row>
    <row r="142" spans="1:12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</row>
    <row r="143" spans="1:12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</row>
    <row r="144" spans="1:12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</row>
    <row r="145" spans="1:12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</row>
    <row r="146" spans="1:12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</row>
    <row r="147" spans="1:12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</row>
    <row r="148" spans="1:12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</row>
    <row r="149" spans="1:12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</row>
    <row r="150" spans="1:12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</row>
    <row r="151" spans="1:12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6119-BADC-4F04-8A4C-37EBD6291F53}">
  <sheetPr>
    <tabColor theme="8"/>
  </sheetPr>
  <dimension ref="H3:I8"/>
  <sheetViews>
    <sheetView workbookViewId="0">
      <selection activeCell="G12" sqref="G12"/>
    </sheetView>
  </sheetViews>
  <sheetFormatPr defaultRowHeight="14.4" x14ac:dyDescent="0.3"/>
  <cols>
    <col min="7" max="7" width="7.109375" customWidth="1"/>
    <col min="9" max="9" width="105.5546875" customWidth="1"/>
  </cols>
  <sheetData>
    <row r="3" spans="8:9" ht="30" customHeight="1" x14ac:dyDescent="0.3">
      <c r="H3" s="4"/>
      <c r="I3" s="4" t="s">
        <v>300</v>
      </c>
    </row>
    <row r="4" spans="8:9" ht="30" customHeight="1" x14ac:dyDescent="0.3">
      <c r="H4" s="5" t="s">
        <v>282</v>
      </c>
      <c r="I4" s="5" t="s">
        <v>283</v>
      </c>
    </row>
    <row r="5" spans="8:9" ht="30" customHeight="1" x14ac:dyDescent="0.3">
      <c r="H5" s="6">
        <v>1</v>
      </c>
      <c r="I5" s="6" t="s">
        <v>301</v>
      </c>
    </row>
    <row r="6" spans="8:9" ht="30" customHeight="1" x14ac:dyDescent="0.3">
      <c r="H6" s="6">
        <v>2</v>
      </c>
      <c r="I6" s="6" t="s">
        <v>302</v>
      </c>
    </row>
    <row r="7" spans="8:9" ht="30" customHeight="1" x14ac:dyDescent="0.3">
      <c r="H7" s="6">
        <v>3</v>
      </c>
      <c r="I7" s="6" t="s">
        <v>303</v>
      </c>
    </row>
    <row r="8" spans="8:9" ht="30" customHeight="1" x14ac:dyDescent="0.3">
      <c r="H8" s="6">
        <v>4</v>
      </c>
      <c r="I8" s="6" t="s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54B5-9BE2-47BE-B871-7ADB066B8F42}">
  <sheetPr>
    <tabColor rgb="FFFFC000"/>
  </sheetPr>
  <dimension ref="A1:O151"/>
  <sheetViews>
    <sheetView topLeftCell="L1" workbookViewId="0">
      <selection activeCell="O3" sqref="O3"/>
    </sheetView>
  </sheetViews>
  <sheetFormatPr defaultRowHeight="14.4" x14ac:dyDescent="0.3"/>
  <cols>
    <col min="1" max="1" width="17.6640625" customWidth="1"/>
    <col min="2" max="2" width="17.44140625" customWidth="1"/>
    <col min="3" max="3" width="16" customWidth="1"/>
    <col min="4" max="4" width="18" customWidth="1"/>
    <col min="5" max="5" width="14.6640625" customWidth="1"/>
    <col min="6" max="6" width="26" customWidth="1"/>
    <col min="7" max="7" width="23" customWidth="1"/>
    <col min="8" max="8" width="17.33203125" customWidth="1"/>
    <col min="9" max="9" width="26.109375" customWidth="1"/>
    <col min="10" max="10" width="20.44140625" customWidth="1"/>
    <col min="11" max="11" width="15.77734375" customWidth="1"/>
    <col min="12" max="15" width="22.44140625" customWidth="1"/>
  </cols>
  <sheetData>
    <row r="1" spans="1:15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</row>
    <row r="2" spans="1:15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</row>
    <row r="3" spans="1:15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</row>
    <row r="4" spans="1:15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0">IF(E4="N/A","N/A",IF(E4&gt;=70000,"High","Low"))</f>
        <v>Low</v>
      </c>
      <c r="N4" s="11" t="s">
        <v>310</v>
      </c>
      <c r="O4" s="7">
        <f>COUNTIF(C:C,"IT")</f>
        <v>25</v>
      </c>
    </row>
    <row r="5" spans="1:15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0"/>
        <v>High</v>
      </c>
      <c r="N5" t="s">
        <v>311</v>
      </c>
      <c r="O5" s="7">
        <f>SUMIF(C:C,"IT",E:E)</f>
        <v>1587780</v>
      </c>
    </row>
    <row r="6" spans="1:15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0"/>
        <v>Low</v>
      </c>
      <c r="N6" t="s">
        <v>312</v>
      </c>
      <c r="O6" s="7">
        <f>AVERAGEIF(C:C,"IT",E:E)</f>
        <v>66157.5</v>
      </c>
    </row>
    <row r="7" spans="1:15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0"/>
        <v>High</v>
      </c>
      <c r="N7" s="7"/>
      <c r="O7" s="7"/>
    </row>
    <row r="8" spans="1:15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0"/>
        <v>Low</v>
      </c>
      <c r="N8" s="7"/>
      <c r="O8" s="7"/>
    </row>
    <row r="9" spans="1:15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0"/>
        <v>Low</v>
      </c>
      <c r="N9" s="7"/>
      <c r="O9" s="7"/>
    </row>
    <row r="10" spans="1:15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0"/>
        <v>High</v>
      </c>
      <c r="N10" s="7"/>
      <c r="O10" s="7"/>
    </row>
    <row r="11" spans="1:15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0"/>
        <v>High</v>
      </c>
      <c r="N11" s="7"/>
      <c r="O11" s="7"/>
    </row>
    <row r="12" spans="1:15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0"/>
        <v>Low</v>
      </c>
      <c r="N12" s="7"/>
      <c r="O12" s="7"/>
    </row>
    <row r="13" spans="1:15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0"/>
        <v>High</v>
      </c>
      <c r="N13" s="7"/>
      <c r="O13" s="7"/>
    </row>
    <row r="14" spans="1:15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0"/>
        <v>High</v>
      </c>
      <c r="N14" s="7"/>
      <c r="O14" s="7"/>
    </row>
    <row r="15" spans="1:15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0"/>
        <v>Low</v>
      </c>
      <c r="N15" s="7"/>
      <c r="O15" s="7"/>
    </row>
    <row r="16" spans="1:15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0"/>
        <v>Low</v>
      </c>
      <c r="N16" s="7"/>
      <c r="O16" s="7"/>
    </row>
    <row r="17" spans="1:15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0"/>
        <v>High</v>
      </c>
      <c r="N17" s="7"/>
      <c r="O17" s="7"/>
    </row>
    <row r="18" spans="1:15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0"/>
        <v>High</v>
      </c>
      <c r="N18" s="7"/>
      <c r="O18" s="7"/>
    </row>
    <row r="19" spans="1:15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0"/>
        <v>Low</v>
      </c>
      <c r="N19" s="7"/>
      <c r="O19" s="7"/>
    </row>
    <row r="20" spans="1:15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0"/>
        <v>High</v>
      </c>
      <c r="N20" s="7"/>
      <c r="O20" s="7"/>
    </row>
    <row r="21" spans="1:15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0"/>
        <v>Low</v>
      </c>
      <c r="N21" s="7"/>
      <c r="O21" s="7"/>
    </row>
    <row r="22" spans="1:15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0"/>
        <v>N/A</v>
      </c>
      <c r="N22" s="7"/>
      <c r="O22" s="7"/>
    </row>
    <row r="23" spans="1:15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0"/>
        <v>High</v>
      </c>
      <c r="N23" s="7"/>
      <c r="O23" s="7"/>
    </row>
    <row r="24" spans="1:15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0"/>
        <v>Low</v>
      </c>
      <c r="N24" s="7"/>
      <c r="O24" s="7"/>
    </row>
    <row r="25" spans="1:15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0"/>
        <v>Low</v>
      </c>
      <c r="N25" s="7"/>
      <c r="O25" s="7"/>
    </row>
    <row r="26" spans="1:15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0"/>
        <v>High</v>
      </c>
      <c r="N26" s="7"/>
      <c r="O26" s="7"/>
    </row>
    <row r="27" spans="1:15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0"/>
        <v>Low</v>
      </c>
      <c r="N27" s="7"/>
      <c r="O27" s="7"/>
    </row>
    <row r="28" spans="1:15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0"/>
        <v>High</v>
      </c>
      <c r="N28" s="7"/>
      <c r="O28" s="7"/>
    </row>
    <row r="29" spans="1:15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0"/>
        <v>Low</v>
      </c>
      <c r="N29" s="7"/>
      <c r="O29" s="7"/>
    </row>
    <row r="30" spans="1:15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0"/>
        <v>Low</v>
      </c>
      <c r="N30" s="7"/>
      <c r="O30" s="7"/>
    </row>
    <row r="31" spans="1:15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0"/>
        <v>High</v>
      </c>
      <c r="N31" s="7"/>
      <c r="O31" s="7"/>
    </row>
    <row r="32" spans="1:15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0"/>
        <v>High</v>
      </c>
      <c r="N32" s="7"/>
      <c r="O32" s="7"/>
    </row>
    <row r="33" spans="1:15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0"/>
        <v>High</v>
      </c>
      <c r="N33" s="7"/>
      <c r="O33" s="7"/>
    </row>
    <row r="34" spans="1:15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0"/>
        <v>High</v>
      </c>
      <c r="N34" s="7"/>
      <c r="O34" s="7"/>
    </row>
    <row r="35" spans="1:15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0"/>
        <v>High</v>
      </c>
      <c r="N35" s="7"/>
      <c r="O35" s="7"/>
    </row>
    <row r="36" spans="1:15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0"/>
        <v>High</v>
      </c>
      <c r="N36" s="7"/>
      <c r="O36" s="7"/>
    </row>
    <row r="37" spans="1:15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0"/>
        <v>Low</v>
      </c>
      <c r="N37" s="7"/>
      <c r="O37" s="7"/>
    </row>
    <row r="38" spans="1:15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0"/>
        <v>High</v>
      </c>
      <c r="N38" s="7"/>
      <c r="O38" s="7"/>
    </row>
    <row r="39" spans="1:15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0"/>
        <v>Low</v>
      </c>
      <c r="N39" s="7"/>
      <c r="O39" s="7"/>
    </row>
    <row r="40" spans="1:15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0"/>
        <v>Low</v>
      </c>
      <c r="N40" s="7"/>
      <c r="O40" s="7"/>
    </row>
    <row r="41" spans="1:15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0"/>
        <v>Low</v>
      </c>
      <c r="N41" s="7"/>
      <c r="O41" s="7"/>
    </row>
    <row r="42" spans="1:15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0"/>
        <v>N/A</v>
      </c>
      <c r="N42" s="7"/>
      <c r="O42" s="7"/>
    </row>
    <row r="43" spans="1:15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0"/>
        <v>Low</v>
      </c>
      <c r="N43" s="7"/>
      <c r="O43" s="7"/>
    </row>
    <row r="44" spans="1:15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0"/>
        <v>Low</v>
      </c>
      <c r="N44" s="7"/>
      <c r="O44" s="7"/>
    </row>
    <row r="45" spans="1:15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0"/>
        <v>Low</v>
      </c>
      <c r="N45" s="7"/>
      <c r="O45" s="7"/>
    </row>
    <row r="46" spans="1:15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0"/>
        <v>High</v>
      </c>
      <c r="N46" s="7"/>
      <c r="O46" s="7"/>
    </row>
    <row r="47" spans="1:15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0"/>
        <v>Low</v>
      </c>
      <c r="N47" s="7"/>
      <c r="O47" s="7"/>
    </row>
    <row r="48" spans="1:15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0"/>
        <v>High</v>
      </c>
      <c r="N48" s="7"/>
      <c r="O48" s="7"/>
    </row>
    <row r="49" spans="1:15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0"/>
        <v>Low</v>
      </c>
      <c r="N49" s="7"/>
      <c r="O49" s="7"/>
    </row>
    <row r="50" spans="1:15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0"/>
        <v>Low</v>
      </c>
      <c r="N50" s="7"/>
      <c r="O50" s="7"/>
    </row>
    <row r="51" spans="1:15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0"/>
        <v>High</v>
      </c>
      <c r="N51" s="7"/>
      <c r="O51" s="7"/>
    </row>
    <row r="52" spans="1:15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0"/>
        <v>Low</v>
      </c>
      <c r="N52" s="7"/>
      <c r="O52" s="7"/>
    </row>
    <row r="53" spans="1:15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0"/>
        <v>Low</v>
      </c>
      <c r="N53" s="7"/>
      <c r="O53" s="7"/>
    </row>
    <row r="54" spans="1:15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0"/>
        <v>Low</v>
      </c>
      <c r="N54" s="7"/>
      <c r="O54" s="7"/>
    </row>
    <row r="55" spans="1:15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0"/>
        <v>Low</v>
      </c>
      <c r="N55" s="7"/>
      <c r="O55" s="7"/>
    </row>
    <row r="56" spans="1:15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0"/>
        <v>High</v>
      </c>
      <c r="N56" s="7"/>
      <c r="O56" s="7"/>
    </row>
    <row r="57" spans="1:15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0"/>
        <v>High</v>
      </c>
      <c r="N57" s="7"/>
      <c r="O57" s="7"/>
    </row>
    <row r="58" spans="1:15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0"/>
        <v>Low</v>
      </c>
      <c r="N58" s="7"/>
      <c r="O58" s="7"/>
    </row>
    <row r="59" spans="1:15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0"/>
        <v>High</v>
      </c>
      <c r="N59" s="7"/>
      <c r="O59" s="7"/>
    </row>
    <row r="60" spans="1:15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0"/>
        <v>High</v>
      </c>
      <c r="N60" s="7"/>
      <c r="O60" s="7"/>
    </row>
    <row r="61" spans="1:15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0"/>
        <v>High</v>
      </c>
      <c r="N61" s="7"/>
      <c r="O61" s="7"/>
    </row>
    <row r="62" spans="1:15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0"/>
        <v>N/A</v>
      </c>
      <c r="N62" s="7"/>
      <c r="O62" s="7"/>
    </row>
    <row r="63" spans="1:15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0"/>
        <v>Low</v>
      </c>
      <c r="N63" s="7"/>
      <c r="O63" s="7"/>
    </row>
    <row r="64" spans="1:15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0"/>
        <v>High</v>
      </c>
      <c r="N64" s="7"/>
      <c r="O64" s="7"/>
    </row>
    <row r="65" spans="1:15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0"/>
        <v>Low</v>
      </c>
      <c r="N65" s="7"/>
      <c r="O65" s="7"/>
    </row>
    <row r="66" spans="1:15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0"/>
        <v>High</v>
      </c>
      <c r="N66" s="7"/>
      <c r="O66" s="7"/>
    </row>
    <row r="67" spans="1:15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0"/>
        <v>Low</v>
      </c>
      <c r="N67" s="7"/>
      <c r="O67" s="7"/>
    </row>
    <row r="68" spans="1:15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1">IF(E68="N/A","N/A",IF(E68&gt;=70000,"High","Low"))</f>
        <v>High</v>
      </c>
      <c r="N68" s="7"/>
      <c r="O68" s="7"/>
    </row>
    <row r="69" spans="1:15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1"/>
        <v>Low</v>
      </c>
      <c r="N69" s="7"/>
      <c r="O69" s="7"/>
    </row>
    <row r="70" spans="1:15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1"/>
        <v>Low</v>
      </c>
      <c r="N70" s="7"/>
      <c r="O70" s="7"/>
    </row>
    <row r="71" spans="1:15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1"/>
        <v>High</v>
      </c>
      <c r="N71" s="7"/>
      <c r="O71" s="7"/>
    </row>
    <row r="72" spans="1:15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1"/>
        <v>Low</v>
      </c>
      <c r="N72" s="7"/>
      <c r="O72" s="7"/>
    </row>
    <row r="73" spans="1:15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1"/>
        <v>High</v>
      </c>
      <c r="N73" s="7"/>
      <c r="O73" s="7"/>
    </row>
    <row r="74" spans="1:15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1"/>
        <v>Low</v>
      </c>
      <c r="N74" s="7"/>
      <c r="O74" s="7"/>
    </row>
    <row r="75" spans="1:15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1"/>
        <v>High</v>
      </c>
      <c r="N75" s="7"/>
      <c r="O75" s="7"/>
    </row>
    <row r="76" spans="1:15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1"/>
        <v>Low</v>
      </c>
      <c r="N76" s="7"/>
      <c r="O76" s="7"/>
    </row>
    <row r="77" spans="1:15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1"/>
        <v>High</v>
      </c>
      <c r="N77" s="7"/>
      <c r="O77" s="7"/>
    </row>
    <row r="78" spans="1:15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1"/>
        <v>High</v>
      </c>
      <c r="N78" s="7"/>
      <c r="O78" s="7"/>
    </row>
    <row r="79" spans="1:15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1"/>
        <v>Low</v>
      </c>
      <c r="N79" s="7"/>
      <c r="O79" s="7"/>
    </row>
    <row r="80" spans="1:15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1"/>
        <v>High</v>
      </c>
      <c r="N80" s="7"/>
      <c r="O80" s="7"/>
    </row>
    <row r="81" spans="1:15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1"/>
        <v>Low</v>
      </c>
      <c r="N81" s="7"/>
      <c r="O81" s="7"/>
    </row>
    <row r="82" spans="1:15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1"/>
        <v>N/A</v>
      </c>
      <c r="N82" s="7"/>
      <c r="O82" s="7"/>
    </row>
    <row r="83" spans="1:15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1"/>
        <v>High</v>
      </c>
      <c r="N83" s="7"/>
      <c r="O83" s="7"/>
    </row>
    <row r="84" spans="1:15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1"/>
        <v>Low</v>
      </c>
      <c r="N84" s="7"/>
      <c r="O84" s="7"/>
    </row>
    <row r="85" spans="1:15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1"/>
        <v>High</v>
      </c>
      <c r="N85" s="7"/>
      <c r="O85" s="7"/>
    </row>
    <row r="86" spans="1:15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1"/>
        <v>Low</v>
      </c>
      <c r="N86" s="7"/>
      <c r="O86" s="7"/>
    </row>
    <row r="87" spans="1:15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1"/>
        <v>Low</v>
      </c>
      <c r="N87" s="7"/>
      <c r="O87" s="7"/>
    </row>
    <row r="88" spans="1:15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1"/>
        <v>Low</v>
      </c>
      <c r="N88" s="7"/>
      <c r="O88" s="7"/>
    </row>
    <row r="89" spans="1:15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1"/>
        <v>Low</v>
      </c>
      <c r="N89" s="7"/>
      <c r="O89" s="7"/>
    </row>
    <row r="90" spans="1:15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1"/>
        <v>Low</v>
      </c>
      <c r="N90" s="7"/>
      <c r="O90" s="7"/>
    </row>
    <row r="91" spans="1:15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1"/>
        <v>Low</v>
      </c>
      <c r="N91" s="7"/>
      <c r="O91" s="7"/>
    </row>
    <row r="92" spans="1:15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1"/>
        <v>Low</v>
      </c>
      <c r="N92" s="7"/>
      <c r="O92" s="7"/>
    </row>
    <row r="93" spans="1:15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1"/>
        <v>Low</v>
      </c>
      <c r="N93" s="7"/>
      <c r="O93" s="7"/>
    </row>
    <row r="94" spans="1:15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1"/>
        <v>High</v>
      </c>
      <c r="N94" s="7"/>
      <c r="O94" s="7"/>
    </row>
    <row r="95" spans="1:15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1"/>
        <v>High</v>
      </c>
      <c r="N95" s="7"/>
      <c r="O95" s="7"/>
    </row>
    <row r="96" spans="1:15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1"/>
        <v>Low</v>
      </c>
      <c r="N96" s="7"/>
      <c r="O96" s="7"/>
    </row>
    <row r="97" spans="1:15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1"/>
        <v>High</v>
      </c>
      <c r="N97" s="7"/>
      <c r="O97" s="7"/>
    </row>
    <row r="98" spans="1:15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1"/>
        <v>High</v>
      </c>
      <c r="N98" s="7"/>
      <c r="O98" s="7"/>
    </row>
    <row r="99" spans="1:15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1"/>
        <v>High</v>
      </c>
      <c r="N99" s="7"/>
      <c r="O99" s="7"/>
    </row>
    <row r="100" spans="1:15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1"/>
        <v>High</v>
      </c>
      <c r="N100" s="7"/>
      <c r="O100" s="7"/>
    </row>
    <row r="101" spans="1:15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1"/>
        <v>High</v>
      </c>
      <c r="N101" s="7"/>
      <c r="O101" s="7"/>
    </row>
    <row r="102" spans="1:15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1"/>
        <v>N/A</v>
      </c>
      <c r="N102" s="7"/>
      <c r="O102" s="7"/>
    </row>
    <row r="103" spans="1:15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1"/>
        <v>Low</v>
      </c>
      <c r="N103" s="7"/>
      <c r="O103" s="7"/>
    </row>
    <row r="104" spans="1:15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1"/>
        <v>Low</v>
      </c>
      <c r="N104" s="7"/>
      <c r="O104" s="7"/>
    </row>
    <row r="105" spans="1:15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1"/>
        <v>High</v>
      </c>
      <c r="N105" s="7"/>
      <c r="O105" s="7"/>
    </row>
    <row r="106" spans="1:15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1"/>
        <v>Low</v>
      </c>
      <c r="N106" s="7"/>
      <c r="O106" s="7"/>
    </row>
    <row r="107" spans="1:15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1"/>
        <v>High</v>
      </c>
      <c r="N107" s="7"/>
      <c r="O107" s="7"/>
    </row>
    <row r="108" spans="1:15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1"/>
        <v>Low</v>
      </c>
      <c r="N108" s="7"/>
      <c r="O108" s="7"/>
    </row>
    <row r="109" spans="1:15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1"/>
        <v>High</v>
      </c>
      <c r="N109" s="7"/>
      <c r="O109" s="7"/>
    </row>
    <row r="110" spans="1:15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1"/>
        <v>Low</v>
      </c>
      <c r="N110" s="7"/>
      <c r="O110" s="7"/>
    </row>
    <row r="111" spans="1:15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1"/>
        <v>High</v>
      </c>
      <c r="N111" s="7"/>
      <c r="O111" s="7"/>
    </row>
    <row r="112" spans="1:15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1"/>
        <v>Low</v>
      </c>
      <c r="N112" s="7"/>
      <c r="O112" s="7"/>
    </row>
    <row r="113" spans="1:15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1"/>
        <v>Low</v>
      </c>
      <c r="N113" s="7"/>
      <c r="O113" s="7"/>
    </row>
    <row r="114" spans="1:15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1"/>
        <v>High</v>
      </c>
      <c r="N114" s="7"/>
      <c r="O114" s="7"/>
    </row>
    <row r="115" spans="1:15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1"/>
        <v>Low</v>
      </c>
      <c r="N115" s="7"/>
      <c r="O115" s="7"/>
    </row>
    <row r="116" spans="1:15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1"/>
        <v>Low</v>
      </c>
      <c r="N116" s="7"/>
      <c r="O116" s="7"/>
    </row>
    <row r="117" spans="1:15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1"/>
        <v>High</v>
      </c>
      <c r="N117" s="7"/>
      <c r="O117" s="7"/>
    </row>
    <row r="118" spans="1:15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1"/>
        <v>Low</v>
      </c>
      <c r="N118" s="7"/>
      <c r="O118" s="7"/>
    </row>
    <row r="119" spans="1:15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1"/>
        <v>High</v>
      </c>
      <c r="N119" s="7"/>
      <c r="O119" s="7"/>
    </row>
    <row r="120" spans="1:15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1"/>
        <v>High</v>
      </c>
      <c r="N120" s="7"/>
      <c r="O120" s="7"/>
    </row>
    <row r="121" spans="1:15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1"/>
        <v>Low</v>
      </c>
      <c r="N121" s="7"/>
      <c r="O121" s="7"/>
    </row>
    <row r="122" spans="1:15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1"/>
        <v>N/A</v>
      </c>
      <c r="N122" s="7"/>
      <c r="O122" s="7"/>
    </row>
    <row r="123" spans="1:15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1"/>
        <v>Low</v>
      </c>
      <c r="N123" s="7"/>
      <c r="O123" s="7"/>
    </row>
    <row r="124" spans="1:15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1"/>
        <v>Low</v>
      </c>
      <c r="N124" s="7"/>
      <c r="O124" s="7"/>
    </row>
    <row r="125" spans="1:15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1"/>
        <v>Low</v>
      </c>
      <c r="N125" s="7"/>
      <c r="O125" s="7"/>
    </row>
    <row r="126" spans="1:15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1"/>
        <v>Low</v>
      </c>
      <c r="N126" s="7"/>
      <c r="O126" s="7"/>
    </row>
    <row r="127" spans="1:15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1"/>
        <v>High</v>
      </c>
      <c r="N127" s="7"/>
      <c r="O127" s="7"/>
    </row>
    <row r="128" spans="1:15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1"/>
        <v>High</v>
      </c>
      <c r="N128" s="7"/>
      <c r="O128" s="7"/>
    </row>
    <row r="129" spans="1:15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1"/>
        <v>High</v>
      </c>
      <c r="N129" s="7"/>
      <c r="O129" s="7"/>
    </row>
    <row r="130" spans="1:15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1"/>
        <v>Low</v>
      </c>
      <c r="N130" s="7"/>
      <c r="O130" s="7"/>
    </row>
    <row r="131" spans="1:15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1"/>
        <v>Low</v>
      </c>
      <c r="N131" s="7"/>
      <c r="O131" s="7"/>
    </row>
    <row r="132" spans="1:15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2">IF(E132="N/A","N/A",IF(E132&gt;=70000,"High","Low"))</f>
        <v>Low</v>
      </c>
      <c r="N132" s="7"/>
      <c r="O132" s="7"/>
    </row>
    <row r="133" spans="1:15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2"/>
        <v>Low</v>
      </c>
      <c r="N133" s="7"/>
      <c r="O133" s="7"/>
    </row>
    <row r="134" spans="1:15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2"/>
        <v>Low</v>
      </c>
      <c r="N134" s="7"/>
      <c r="O134" s="7"/>
    </row>
    <row r="135" spans="1:15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2"/>
        <v>Low</v>
      </c>
      <c r="N135" s="7"/>
      <c r="O135" s="7"/>
    </row>
    <row r="136" spans="1:15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2"/>
        <v>Low</v>
      </c>
      <c r="N136" s="7"/>
      <c r="O136" s="7"/>
    </row>
    <row r="137" spans="1:15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2"/>
        <v>Low</v>
      </c>
      <c r="N137" s="7"/>
      <c r="O137" s="7"/>
    </row>
    <row r="138" spans="1:15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2"/>
        <v>Low</v>
      </c>
      <c r="N138" s="7"/>
      <c r="O138" s="7"/>
    </row>
    <row r="139" spans="1:15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2"/>
        <v>High</v>
      </c>
      <c r="N139" s="7"/>
      <c r="O139" s="7"/>
    </row>
    <row r="140" spans="1:15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2"/>
        <v>High</v>
      </c>
      <c r="N140" s="7"/>
      <c r="O140" s="7"/>
    </row>
    <row r="141" spans="1:15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2"/>
        <v>High</v>
      </c>
      <c r="N141" s="7"/>
      <c r="O141" s="7"/>
    </row>
    <row r="142" spans="1:15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2"/>
        <v>N/A</v>
      </c>
      <c r="N142" s="7"/>
      <c r="O142" s="7"/>
    </row>
    <row r="143" spans="1:15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2"/>
        <v>Low</v>
      </c>
      <c r="N143" s="7"/>
      <c r="O143" s="7"/>
    </row>
    <row r="144" spans="1:15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2"/>
        <v>High</v>
      </c>
      <c r="N144" s="7"/>
      <c r="O144" s="7"/>
    </row>
    <row r="145" spans="1:15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2"/>
        <v>High</v>
      </c>
      <c r="N145" s="7"/>
      <c r="O145" s="7"/>
    </row>
    <row r="146" spans="1:15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2"/>
        <v>High</v>
      </c>
      <c r="N146" s="7"/>
      <c r="O146" s="7"/>
    </row>
    <row r="147" spans="1:15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2"/>
        <v>Low</v>
      </c>
      <c r="N147" s="7"/>
      <c r="O147" s="7"/>
    </row>
    <row r="148" spans="1:15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2"/>
        <v>Low</v>
      </c>
      <c r="N148" s="7"/>
      <c r="O148" s="7"/>
    </row>
    <row r="149" spans="1:15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2"/>
        <v>Low</v>
      </c>
      <c r="N149" s="7"/>
      <c r="O149" s="7"/>
    </row>
    <row r="150" spans="1:15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2"/>
        <v>Low</v>
      </c>
      <c r="N150" s="7"/>
      <c r="O150" s="7"/>
    </row>
    <row r="151" spans="1:15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2"/>
        <v>High</v>
      </c>
      <c r="N151" s="7"/>
      <c r="O15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7716-6E63-4C78-BB91-6EBDE3AD3599}">
  <sheetPr>
    <tabColor theme="8"/>
  </sheetPr>
  <dimension ref="H3:I8"/>
  <sheetViews>
    <sheetView workbookViewId="0">
      <selection activeCell="L4" sqref="L4"/>
    </sheetView>
  </sheetViews>
  <sheetFormatPr defaultRowHeight="14.4" x14ac:dyDescent="0.3"/>
  <cols>
    <col min="8" max="8" width="12.88671875" customWidth="1"/>
    <col min="9" max="9" width="88.88671875" customWidth="1"/>
  </cols>
  <sheetData>
    <row r="3" spans="8:9" ht="30" customHeight="1" x14ac:dyDescent="0.3">
      <c r="H3" s="4"/>
      <c r="I3" s="4" t="s">
        <v>313</v>
      </c>
    </row>
    <row r="4" spans="8:9" ht="30" customHeight="1" x14ac:dyDescent="0.3">
      <c r="H4" s="5" t="s">
        <v>318</v>
      </c>
      <c r="I4" s="5" t="s">
        <v>283</v>
      </c>
    </row>
    <row r="5" spans="8:9" ht="30" customHeight="1" x14ac:dyDescent="0.3">
      <c r="H5" s="6">
        <v>1</v>
      </c>
      <c r="I5" s="6" t="s">
        <v>314</v>
      </c>
    </row>
    <row r="6" spans="8:9" ht="30" customHeight="1" x14ac:dyDescent="0.3">
      <c r="H6" s="6">
        <v>2</v>
      </c>
      <c r="I6" s="6" t="s">
        <v>315</v>
      </c>
    </row>
    <row r="7" spans="8:9" ht="30" customHeight="1" x14ac:dyDescent="0.3">
      <c r="H7" s="6">
        <v>3</v>
      </c>
      <c r="I7" s="6" t="s">
        <v>316</v>
      </c>
    </row>
    <row r="8" spans="8:9" ht="30" customHeight="1" x14ac:dyDescent="0.3">
      <c r="H8" s="6">
        <v>4</v>
      </c>
      <c r="I8" s="6" t="s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14C2-56F7-4B50-8AA6-BF4B12AF3F10}">
  <sheetPr>
    <tabColor rgb="FFFFC000"/>
  </sheetPr>
  <dimension ref="A1:U151"/>
  <sheetViews>
    <sheetView workbookViewId="0">
      <selection activeCell="U153" sqref="U153"/>
    </sheetView>
  </sheetViews>
  <sheetFormatPr defaultRowHeight="14.4" x14ac:dyDescent="0.3"/>
  <cols>
    <col min="1" max="21" width="25.77734375" customWidth="1"/>
  </cols>
  <sheetData>
    <row r="1" spans="1:21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  <c r="P2" s="7" t="str">
        <f>LEFT(B2,3)</f>
        <v/>
      </c>
      <c r="Q2" s="7" t="str">
        <f>RIGHT(B2,3)</f>
        <v/>
      </c>
      <c r="R2" s="7" t="str">
        <f>MID(B2,3,4)</f>
        <v/>
      </c>
      <c r="S2" s="7" t="str">
        <f>UPPER(B2)</f>
        <v/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7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/>
      </c>
      <c r="U15" s="7" t="str">
        <f t="shared" si="1"/>
        <v/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/>
      </c>
      <c r="Q17" s="7" t="str">
        <f t="shared" si="5"/>
        <v/>
      </c>
      <c r="R17" s="7" t="str">
        <f t="shared" si="3"/>
        <v/>
      </c>
      <c r="S17" s="7" t="str">
        <f t="shared" si="6"/>
        <v/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/>
      </c>
      <c r="U18" s="7" t="str">
        <f t="shared" si="1"/>
        <v/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/>
      </c>
      <c r="U21" s="7" t="str">
        <f t="shared" si="1"/>
        <v/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N/A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/>
      </c>
      <c r="U27" s="7" t="str">
        <f t="shared" si="1"/>
        <v/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/>
      </c>
      <c r="Q32" s="7" t="str">
        <f t="shared" si="5"/>
        <v/>
      </c>
      <c r="R32" s="7" t="str">
        <f t="shared" si="3"/>
        <v/>
      </c>
      <c r="S32" s="7" t="str">
        <f t="shared" si="6"/>
        <v/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/>
      </c>
      <c r="U35" s="7" t="str">
        <f t="shared" si="1"/>
        <v/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/>
      </c>
      <c r="U37" s="7" t="str">
        <f t="shared" si="1"/>
        <v/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N/A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/>
      </c>
      <c r="U44" s="7" t="str">
        <f t="shared" si="1"/>
        <v/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/>
      </c>
      <c r="Q47" s="7" t="str">
        <f t="shared" si="5"/>
        <v/>
      </c>
      <c r="R47" s="7" t="str">
        <f t="shared" si="3"/>
        <v/>
      </c>
      <c r="S47" s="7" t="str">
        <f t="shared" si="6"/>
        <v/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/>
      </c>
      <c r="U52" s="7" t="str">
        <f t="shared" si="1"/>
        <v/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/>
      </c>
      <c r="U57" s="7" t="str">
        <f t="shared" si="1"/>
        <v/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/>
      </c>
      <c r="U59" s="7" t="str">
        <f t="shared" si="1"/>
        <v/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N/A</v>
      </c>
      <c r="N62" s="7"/>
      <c r="O62" s="7"/>
      <c r="P62" s="7" t="str">
        <f t="shared" si="4"/>
        <v/>
      </c>
      <c r="Q62" s="7" t="str">
        <f t="shared" si="5"/>
        <v/>
      </c>
      <c r="R62" s="7" t="str">
        <f t="shared" si="3"/>
        <v/>
      </c>
      <c r="S62" s="7" t="str">
        <f t="shared" si="6"/>
        <v/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/>
      </c>
      <c r="U63" s="7" t="str">
        <f t="shared" si="1"/>
        <v/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ref="Q68:Q131" si="10">RIGHT(B68,3)</f>
        <v>son</v>
      </c>
      <c r="R68" s="7" t="str">
        <f t="shared" ref="R68:R131" si="11">MID(B68,3,4)</f>
        <v>m Wi</v>
      </c>
      <c r="S68" s="7" t="str">
        <f t="shared" si="6"/>
        <v>SAM WILSON</v>
      </c>
      <c r="T68" s="7" t="str">
        <f t="shared" si="7"/>
        <v/>
      </c>
      <c r="U68" s="7" t="str">
        <f t="shared" si="8"/>
        <v/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2">LEFT(B69,3)</f>
        <v>Ali</v>
      </c>
      <c r="Q69" s="7" t="str">
        <f t="shared" si="10"/>
        <v>own</v>
      </c>
      <c r="R69" s="7" t="str">
        <f t="shared" si="11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2"/>
        <v>Sam</v>
      </c>
      <c r="Q70" s="7" t="str">
        <f t="shared" si="10"/>
        <v>son</v>
      </c>
      <c r="R70" s="7" t="str">
        <f t="shared" si="11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2"/>
        <v>Bob</v>
      </c>
      <c r="Q71" s="7" t="str">
        <f t="shared" si="10"/>
        <v>son</v>
      </c>
      <c r="R71" s="7" t="str">
        <f t="shared" si="11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2"/>
        <v>Eve</v>
      </c>
      <c r="Q72" s="7" t="str">
        <f t="shared" si="10"/>
        <v>ams</v>
      </c>
      <c r="R72" s="7" t="str">
        <f t="shared" si="11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2"/>
        <v>Eve</v>
      </c>
      <c r="Q73" s="7" t="str">
        <f t="shared" si="10"/>
        <v>ams</v>
      </c>
      <c r="R73" s="7" t="str">
        <f t="shared" si="11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2"/>
        <v>Bob</v>
      </c>
      <c r="Q74" s="7" t="str">
        <f t="shared" si="10"/>
        <v>son</v>
      </c>
      <c r="R74" s="7" t="str">
        <f t="shared" si="11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2"/>
        <v>Joh</v>
      </c>
      <c r="Q75" s="7" t="str">
        <f t="shared" si="10"/>
        <v>Doe</v>
      </c>
      <c r="R75" s="7" t="str">
        <f t="shared" si="11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2"/>
        <v>Sam</v>
      </c>
      <c r="Q76" s="7" t="str">
        <f t="shared" si="10"/>
        <v>son</v>
      </c>
      <c r="R76" s="7" t="str">
        <f t="shared" si="11"/>
        <v>m Wi</v>
      </c>
      <c r="S76" s="7" t="str">
        <f t="shared" si="13"/>
        <v>SAM WILSON</v>
      </c>
      <c r="T76" s="7" t="str">
        <f t="shared" si="7"/>
        <v/>
      </c>
      <c r="U76" s="7" t="str">
        <f t="shared" si="8"/>
        <v/>
      </c>
    </row>
    <row r="77" spans="1:21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2"/>
        <v/>
      </c>
      <c r="Q77" s="7" t="str">
        <f t="shared" si="10"/>
        <v/>
      </c>
      <c r="R77" s="7" t="str">
        <f t="shared" si="11"/>
        <v/>
      </c>
      <c r="S77" s="7" t="str">
        <f t="shared" si="13"/>
        <v/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2"/>
        <v>Eve</v>
      </c>
      <c r="Q78" s="7" t="str">
        <f t="shared" si="10"/>
        <v>ams</v>
      </c>
      <c r="R78" s="7" t="str">
        <f t="shared" si="11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2"/>
        <v>Jan</v>
      </c>
      <c r="Q79" s="7" t="str">
        <f t="shared" si="10"/>
        <v>ith</v>
      </c>
      <c r="R79" s="7" t="str">
        <f t="shared" si="11"/>
        <v>ne S</v>
      </c>
      <c r="S79" s="7" t="str">
        <f t="shared" si="13"/>
        <v>JANE SMITH</v>
      </c>
      <c r="T79" s="7" t="str">
        <f t="shared" si="7"/>
        <v/>
      </c>
      <c r="U79" s="7" t="str">
        <f t="shared" si="8"/>
        <v/>
      </c>
    </row>
    <row r="80" spans="1:21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2"/>
        <v>Sam</v>
      </c>
      <c r="Q80" s="7" t="str">
        <f t="shared" si="10"/>
        <v>son</v>
      </c>
      <c r="R80" s="7" t="str">
        <f t="shared" si="11"/>
        <v>m Wi</v>
      </c>
      <c r="S80" s="7" t="str">
        <f t="shared" si="13"/>
        <v>SAM WILSON</v>
      </c>
      <c r="T80" s="7" t="str">
        <f t="shared" si="7"/>
        <v/>
      </c>
      <c r="U80" s="7" t="str">
        <f t="shared" si="8"/>
        <v/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2"/>
        <v>Chr</v>
      </c>
      <c r="Q81" s="7" t="str">
        <f t="shared" si="10"/>
        <v>Lee</v>
      </c>
      <c r="R81" s="7" t="str">
        <f t="shared" si="11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9"/>
        <v>N/A</v>
      </c>
      <c r="N82" s="7"/>
      <c r="O82" s="7"/>
      <c r="P82" s="7" t="str">
        <f t="shared" si="12"/>
        <v>Eve</v>
      </c>
      <c r="Q82" s="7" t="str">
        <f t="shared" si="10"/>
        <v>ams</v>
      </c>
      <c r="R82" s="7" t="str">
        <f t="shared" si="11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2"/>
        <v>Jan</v>
      </c>
      <c r="Q83" s="7" t="str">
        <f t="shared" si="10"/>
        <v>ith</v>
      </c>
      <c r="R83" s="7" t="str">
        <f t="shared" si="11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2"/>
        <v>Eve</v>
      </c>
      <c r="Q84" s="7" t="str">
        <f t="shared" si="10"/>
        <v>ams</v>
      </c>
      <c r="R84" s="7" t="str">
        <f t="shared" si="11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2"/>
        <v>Sam</v>
      </c>
      <c r="Q85" s="7" t="str">
        <f t="shared" si="10"/>
        <v>son</v>
      </c>
      <c r="R85" s="7" t="str">
        <f t="shared" si="11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2"/>
        <v>Joh</v>
      </c>
      <c r="Q86" s="7" t="str">
        <f t="shared" si="10"/>
        <v>Doe</v>
      </c>
      <c r="R86" s="7" t="str">
        <f t="shared" si="11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2"/>
        <v>Chr</v>
      </c>
      <c r="Q87" s="7" t="str">
        <f t="shared" si="10"/>
        <v>Lee</v>
      </c>
      <c r="R87" s="7" t="str">
        <f t="shared" si="11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2"/>
        <v>Chr</v>
      </c>
      <c r="Q88" s="7" t="str">
        <f t="shared" si="10"/>
        <v>Lee</v>
      </c>
      <c r="R88" s="7" t="str">
        <f t="shared" si="11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2"/>
        <v>Sam</v>
      </c>
      <c r="Q89" s="7" t="str">
        <f t="shared" si="10"/>
        <v>son</v>
      </c>
      <c r="R89" s="7" t="str">
        <f t="shared" si="11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2"/>
        <v>Chr</v>
      </c>
      <c r="Q90" s="7" t="str">
        <f t="shared" si="10"/>
        <v>Lee</v>
      </c>
      <c r="R90" s="7" t="str">
        <f t="shared" si="11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2"/>
        <v>Jan</v>
      </c>
      <c r="Q91" s="7" t="str">
        <f t="shared" si="10"/>
        <v>ith</v>
      </c>
      <c r="R91" s="7" t="str">
        <f t="shared" si="11"/>
        <v>ne S</v>
      </c>
      <c r="S91" s="7" t="str">
        <f t="shared" si="13"/>
        <v>JANE SMITH</v>
      </c>
      <c r="T91" s="7" t="str">
        <f t="shared" si="7"/>
        <v/>
      </c>
      <c r="U91" s="7" t="str">
        <f t="shared" si="8"/>
        <v/>
      </c>
    </row>
    <row r="92" spans="1:21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2"/>
        <v/>
      </c>
      <c r="Q92" s="7" t="str">
        <f t="shared" si="10"/>
        <v/>
      </c>
      <c r="R92" s="7" t="str">
        <f t="shared" si="11"/>
        <v/>
      </c>
      <c r="S92" s="7" t="str">
        <f t="shared" si="13"/>
        <v/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2"/>
        <v>Ali</v>
      </c>
      <c r="Q93" s="7" t="str">
        <f t="shared" si="10"/>
        <v>own</v>
      </c>
      <c r="R93" s="7" t="str">
        <f t="shared" si="11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2"/>
        <v>Jan</v>
      </c>
      <c r="Q94" s="7" t="str">
        <f t="shared" si="10"/>
        <v>ith</v>
      </c>
      <c r="R94" s="7" t="str">
        <f t="shared" si="11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2"/>
        <v>Ali</v>
      </c>
      <c r="Q95" s="7" t="str">
        <f t="shared" si="10"/>
        <v>own</v>
      </c>
      <c r="R95" s="7" t="str">
        <f t="shared" si="11"/>
        <v xml:space="preserve">ice </v>
      </c>
      <c r="S95" s="7" t="str">
        <f t="shared" si="13"/>
        <v>ALICE BROWN</v>
      </c>
      <c r="T95" s="7" t="str">
        <f t="shared" si="7"/>
        <v/>
      </c>
      <c r="U95" s="7" t="str">
        <f t="shared" si="8"/>
        <v/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2"/>
        <v>Bob</v>
      </c>
      <c r="Q96" s="7" t="str">
        <f t="shared" si="10"/>
        <v>son</v>
      </c>
      <c r="R96" s="7" t="str">
        <f t="shared" si="11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2"/>
        <v>Ali</v>
      </c>
      <c r="Q97" s="7" t="str">
        <f t="shared" si="10"/>
        <v>own</v>
      </c>
      <c r="R97" s="7" t="str">
        <f t="shared" si="11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2"/>
        <v>Jan</v>
      </c>
      <c r="Q98" s="7" t="str">
        <f t="shared" si="10"/>
        <v>ith</v>
      </c>
      <c r="R98" s="7" t="str">
        <f t="shared" si="11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2"/>
        <v>Sam</v>
      </c>
      <c r="Q99" s="7" t="str">
        <f t="shared" si="10"/>
        <v>son</v>
      </c>
      <c r="R99" s="7" t="str">
        <f t="shared" si="11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2"/>
        <v>Bob</v>
      </c>
      <c r="Q100" s="7" t="str">
        <f t="shared" si="10"/>
        <v>son</v>
      </c>
      <c r="R100" s="7" t="str">
        <f t="shared" si="11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2"/>
        <v>Eve</v>
      </c>
      <c r="Q101" s="7" t="str">
        <f t="shared" si="10"/>
        <v>ams</v>
      </c>
      <c r="R101" s="7" t="str">
        <f t="shared" si="11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N/A</v>
      </c>
      <c r="N102" s="7"/>
      <c r="O102" s="7"/>
      <c r="P102" s="7" t="str">
        <f t="shared" si="12"/>
        <v>Bob</v>
      </c>
      <c r="Q102" s="7" t="str">
        <f t="shared" si="10"/>
        <v>son</v>
      </c>
      <c r="R102" s="7" t="str">
        <f t="shared" si="11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2"/>
        <v>Bob</v>
      </c>
      <c r="Q103" s="7" t="str">
        <f t="shared" si="10"/>
        <v>son</v>
      </c>
      <c r="R103" s="7" t="str">
        <f t="shared" si="11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2"/>
        <v>Ali</v>
      </c>
      <c r="Q104" s="7" t="str">
        <f t="shared" si="10"/>
        <v>own</v>
      </c>
      <c r="R104" s="7" t="str">
        <f t="shared" si="11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2"/>
        <v>Ali</v>
      </c>
      <c r="Q105" s="7" t="str">
        <f t="shared" si="10"/>
        <v>own</v>
      </c>
      <c r="R105" s="7" t="str">
        <f t="shared" si="11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2"/>
        <v>Jan</v>
      </c>
      <c r="Q106" s="7" t="str">
        <f t="shared" si="10"/>
        <v>ith</v>
      </c>
      <c r="R106" s="7" t="str">
        <f t="shared" si="11"/>
        <v>ne S</v>
      </c>
      <c r="S106" s="7" t="str">
        <f t="shared" si="13"/>
        <v>JANE SMITH</v>
      </c>
      <c r="T106" s="7" t="str">
        <f t="shared" si="7"/>
        <v/>
      </c>
      <c r="U106" s="7" t="str">
        <f t="shared" si="8"/>
        <v/>
      </c>
    </row>
    <row r="107" spans="1:21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2"/>
        <v/>
      </c>
      <c r="Q107" s="7" t="str">
        <f t="shared" si="10"/>
        <v/>
      </c>
      <c r="R107" s="7" t="str">
        <f t="shared" si="11"/>
        <v/>
      </c>
      <c r="S107" s="7" t="str">
        <f t="shared" si="13"/>
        <v/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2"/>
        <v>Eve</v>
      </c>
      <c r="Q108" s="7" t="str">
        <f t="shared" si="10"/>
        <v>ams</v>
      </c>
      <c r="R108" s="7" t="str">
        <f t="shared" si="11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2"/>
        <v>Sam</v>
      </c>
      <c r="Q109" s="7" t="str">
        <f t="shared" si="10"/>
        <v>son</v>
      </c>
      <c r="R109" s="7" t="str">
        <f t="shared" si="11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2"/>
        <v>Sam</v>
      </c>
      <c r="Q110" s="7" t="str">
        <f t="shared" si="10"/>
        <v>son</v>
      </c>
      <c r="R110" s="7" t="str">
        <f t="shared" si="11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2"/>
        <v>Jan</v>
      </c>
      <c r="Q111" s="7" t="str">
        <f t="shared" si="10"/>
        <v>ith</v>
      </c>
      <c r="R111" s="7" t="str">
        <f t="shared" si="11"/>
        <v>ne S</v>
      </c>
      <c r="S111" s="7" t="str">
        <f t="shared" si="13"/>
        <v>JANE SMITH</v>
      </c>
      <c r="T111" s="7" t="str">
        <f t="shared" si="7"/>
        <v/>
      </c>
      <c r="U111" s="7" t="str">
        <f t="shared" si="8"/>
        <v/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2"/>
        <v>Chr</v>
      </c>
      <c r="Q112" s="7" t="str">
        <f t="shared" si="10"/>
        <v>Lee</v>
      </c>
      <c r="R112" s="7" t="str">
        <f t="shared" si="11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2"/>
        <v>Chr</v>
      </c>
      <c r="Q113" s="7" t="str">
        <f t="shared" si="10"/>
        <v>Lee</v>
      </c>
      <c r="R113" s="7" t="str">
        <f t="shared" si="11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2"/>
        <v>Eve</v>
      </c>
      <c r="Q114" s="7" t="str">
        <f t="shared" si="10"/>
        <v>ams</v>
      </c>
      <c r="R114" s="7" t="str">
        <f t="shared" si="11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2"/>
        <v>Ali</v>
      </c>
      <c r="Q115" s="7" t="str">
        <f t="shared" si="10"/>
        <v>own</v>
      </c>
      <c r="R115" s="7" t="str">
        <f t="shared" si="11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2"/>
        <v>Eve</v>
      </c>
      <c r="Q116" s="7" t="str">
        <f t="shared" si="10"/>
        <v>ams</v>
      </c>
      <c r="R116" s="7" t="str">
        <f t="shared" si="11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2"/>
        <v>Bob</v>
      </c>
      <c r="Q117" s="7" t="str">
        <f t="shared" si="10"/>
        <v>son</v>
      </c>
      <c r="R117" s="7" t="str">
        <f t="shared" si="11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2"/>
        <v>Bob</v>
      </c>
      <c r="Q118" s="7" t="str">
        <f t="shared" si="10"/>
        <v>son</v>
      </c>
      <c r="R118" s="7" t="str">
        <f t="shared" si="11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2"/>
        <v>Bob</v>
      </c>
      <c r="Q119" s="7" t="str">
        <f t="shared" si="10"/>
        <v>son</v>
      </c>
      <c r="R119" s="7" t="str">
        <f t="shared" si="11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2"/>
        <v>Chr</v>
      </c>
      <c r="Q120" s="7" t="str">
        <f t="shared" si="10"/>
        <v>Lee</v>
      </c>
      <c r="R120" s="7" t="str">
        <f t="shared" si="11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2"/>
        <v>Eve</v>
      </c>
      <c r="Q121" s="7" t="str">
        <f t="shared" si="10"/>
        <v>ams</v>
      </c>
      <c r="R121" s="7" t="str">
        <f t="shared" si="11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N/A</v>
      </c>
      <c r="N122" s="7"/>
      <c r="O122" s="7"/>
      <c r="P122" s="7" t="str">
        <f t="shared" si="12"/>
        <v/>
      </c>
      <c r="Q122" s="7" t="str">
        <f t="shared" si="10"/>
        <v/>
      </c>
      <c r="R122" s="7" t="str">
        <f t="shared" si="11"/>
        <v/>
      </c>
      <c r="S122" s="7" t="str">
        <f t="shared" si="13"/>
        <v/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2"/>
        <v>Chr</v>
      </c>
      <c r="Q123" s="7" t="str">
        <f t="shared" si="10"/>
        <v>Lee</v>
      </c>
      <c r="R123" s="7" t="str">
        <f t="shared" si="11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2"/>
        <v>Bob</v>
      </c>
      <c r="Q124" s="7" t="str">
        <f t="shared" si="10"/>
        <v>son</v>
      </c>
      <c r="R124" s="7" t="str">
        <f t="shared" si="11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2"/>
        <v>Jan</v>
      </c>
      <c r="Q125" s="7" t="str">
        <f t="shared" si="10"/>
        <v>ith</v>
      </c>
      <c r="R125" s="7" t="str">
        <f t="shared" si="11"/>
        <v>ne S</v>
      </c>
      <c r="S125" s="7" t="str">
        <f t="shared" si="13"/>
        <v>JANE SMITH</v>
      </c>
      <c r="T125" s="7" t="str">
        <f t="shared" si="7"/>
        <v/>
      </c>
      <c r="U125" s="7" t="str">
        <f t="shared" si="8"/>
        <v/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2"/>
        <v>Joh</v>
      </c>
      <c r="Q126" s="7" t="str">
        <f t="shared" si="10"/>
        <v>Doe</v>
      </c>
      <c r="R126" s="7" t="str">
        <f t="shared" si="11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2"/>
        <v>Joh</v>
      </c>
      <c r="Q127" s="7" t="str">
        <f t="shared" si="10"/>
        <v>Doe</v>
      </c>
      <c r="R127" s="7" t="str">
        <f t="shared" si="11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2"/>
        <v>Bob</v>
      </c>
      <c r="Q128" s="7" t="str">
        <f t="shared" si="10"/>
        <v>son</v>
      </c>
      <c r="R128" s="7" t="str">
        <f t="shared" si="11"/>
        <v>b Jo</v>
      </c>
      <c r="S128" s="7" t="str">
        <f t="shared" si="13"/>
        <v>BOB JOHNSON</v>
      </c>
      <c r="T128" s="7" t="str">
        <f t="shared" si="7"/>
        <v/>
      </c>
      <c r="U128" s="7" t="str">
        <f t="shared" si="8"/>
        <v/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2"/>
        <v>Joh</v>
      </c>
      <c r="Q129" s="7" t="str">
        <f t="shared" si="10"/>
        <v>Doe</v>
      </c>
      <c r="R129" s="7" t="str">
        <f t="shared" si="11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2"/>
        <v>Chr</v>
      </c>
      <c r="Q130" s="7" t="str">
        <f t="shared" si="10"/>
        <v>Lee</v>
      </c>
      <c r="R130" s="7" t="str">
        <f t="shared" si="11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2"/>
        <v>Bob</v>
      </c>
      <c r="Q131" s="7" t="str">
        <f t="shared" si="10"/>
        <v>son</v>
      </c>
      <c r="R131" s="7" t="str">
        <f t="shared" si="11"/>
        <v>b Jo</v>
      </c>
      <c r="S131" s="7" t="str">
        <f t="shared" si="13"/>
        <v>BOB JOHNSON</v>
      </c>
      <c r="T131" s="7" t="str">
        <f t="shared" ref="T131:T151" si="14">LOWER(C131)</f>
        <v/>
      </c>
      <c r="U131" s="7" t="str">
        <f t="shared" ref="U131:U151" si="15">PROPER(C131)</f>
        <v/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2"/>
        <v>Ali</v>
      </c>
      <c r="Q132" s="7" t="str">
        <f t="shared" ref="Q132:Q151" si="17">RIGHT(B132,3)</f>
        <v>own</v>
      </c>
      <c r="R132" s="7" t="str">
        <f t="shared" ref="R132:R151" si="18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9">LEFT(B133,3)</f>
        <v>Sam</v>
      </c>
      <c r="Q133" s="7" t="str">
        <f t="shared" si="17"/>
        <v>son</v>
      </c>
      <c r="R133" s="7" t="str">
        <f t="shared" si="18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9"/>
        <v>Eve</v>
      </c>
      <c r="Q134" s="7" t="str">
        <f t="shared" si="17"/>
        <v>ams</v>
      </c>
      <c r="R134" s="7" t="str">
        <f t="shared" si="18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9"/>
        <v>Chr</v>
      </c>
      <c r="Q135" s="7" t="str">
        <f t="shared" si="17"/>
        <v>Lee</v>
      </c>
      <c r="R135" s="7" t="str">
        <f t="shared" si="18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9"/>
        <v>Eve</v>
      </c>
      <c r="Q136" s="7" t="str">
        <f t="shared" si="17"/>
        <v>ams</v>
      </c>
      <c r="R136" s="7" t="str">
        <f t="shared" si="18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9"/>
        <v/>
      </c>
      <c r="Q137" s="7" t="str">
        <f t="shared" si="17"/>
        <v/>
      </c>
      <c r="R137" s="7" t="str">
        <f t="shared" si="18"/>
        <v/>
      </c>
      <c r="S137" s="7" t="str">
        <f t="shared" si="20"/>
        <v/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9"/>
        <v>Jan</v>
      </c>
      <c r="Q138" s="7" t="str">
        <f t="shared" si="17"/>
        <v>ith</v>
      </c>
      <c r="R138" s="7" t="str">
        <f t="shared" si="18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9"/>
        <v>Chr</v>
      </c>
      <c r="Q139" s="7" t="str">
        <f t="shared" si="17"/>
        <v>Lee</v>
      </c>
      <c r="R139" s="7" t="str">
        <f t="shared" si="18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9"/>
        <v>Chr</v>
      </c>
      <c r="Q140" s="7" t="str">
        <f t="shared" si="17"/>
        <v>Lee</v>
      </c>
      <c r="R140" s="7" t="str">
        <f t="shared" si="18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9"/>
        <v>Bob</v>
      </c>
      <c r="Q141" s="7" t="str">
        <f t="shared" si="17"/>
        <v>son</v>
      </c>
      <c r="R141" s="7" t="str">
        <f t="shared" si="18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16"/>
        <v>N/A</v>
      </c>
      <c r="N142" s="7"/>
      <c r="O142" s="7"/>
      <c r="P142" s="7" t="str">
        <f t="shared" si="19"/>
        <v>Chr</v>
      </c>
      <c r="Q142" s="7" t="str">
        <f t="shared" si="17"/>
        <v>Lee</v>
      </c>
      <c r="R142" s="7" t="str">
        <f t="shared" si="18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9"/>
        <v>Jan</v>
      </c>
      <c r="Q143" s="7" t="str">
        <f t="shared" si="17"/>
        <v>ith</v>
      </c>
      <c r="R143" s="7" t="str">
        <f t="shared" si="18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9"/>
        <v>Ali</v>
      </c>
      <c r="Q144" s="7" t="str">
        <f t="shared" si="17"/>
        <v>own</v>
      </c>
      <c r="R144" s="7" t="str">
        <f t="shared" si="18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9"/>
        <v>Chr</v>
      </c>
      <c r="Q145" s="7" t="str">
        <f t="shared" si="17"/>
        <v>Lee</v>
      </c>
      <c r="R145" s="7" t="str">
        <f t="shared" si="18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9"/>
        <v>Eve</v>
      </c>
      <c r="Q146" s="7" t="str">
        <f t="shared" si="17"/>
        <v>ams</v>
      </c>
      <c r="R146" s="7" t="str">
        <f t="shared" si="18"/>
        <v>e Ad</v>
      </c>
      <c r="S146" s="7" t="str">
        <f t="shared" si="20"/>
        <v>EVE ADAMS</v>
      </c>
      <c r="T146" s="7" t="str">
        <f t="shared" si="14"/>
        <v/>
      </c>
      <c r="U146" s="7" t="str">
        <f t="shared" si="15"/>
        <v/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9"/>
        <v>Sam</v>
      </c>
      <c r="Q147" s="7" t="str">
        <f t="shared" si="17"/>
        <v>son</v>
      </c>
      <c r="R147" s="7" t="str">
        <f t="shared" si="18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9"/>
        <v>Joh</v>
      </c>
      <c r="Q148" s="7" t="str">
        <f t="shared" si="17"/>
        <v>Doe</v>
      </c>
      <c r="R148" s="7" t="str">
        <f t="shared" si="18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9"/>
        <v>Bob</v>
      </c>
      <c r="Q149" s="7" t="str">
        <f t="shared" si="17"/>
        <v>son</v>
      </c>
      <c r="R149" s="7" t="str">
        <f t="shared" si="18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9"/>
        <v>Bob</v>
      </c>
      <c r="Q150" s="7" t="str">
        <f t="shared" si="17"/>
        <v>son</v>
      </c>
      <c r="R150" s="7" t="str">
        <f t="shared" si="18"/>
        <v>b Jo</v>
      </c>
      <c r="S150" s="7" t="str">
        <f t="shared" si="20"/>
        <v>BOB JOHNSON</v>
      </c>
      <c r="T150" s="7" t="str">
        <f t="shared" si="14"/>
        <v/>
      </c>
      <c r="U150" s="7" t="str">
        <f t="shared" si="15"/>
        <v/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9"/>
        <v>Sam</v>
      </c>
      <c r="Q151" s="7" t="str">
        <f t="shared" si="17"/>
        <v>son</v>
      </c>
      <c r="R151" s="7" t="str">
        <f t="shared" si="18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333D-A26C-407D-A6F9-7B7CFD045EED}">
  <sheetPr>
    <tabColor theme="8"/>
  </sheetPr>
  <dimension ref="I4:J9"/>
  <sheetViews>
    <sheetView workbookViewId="0">
      <selection activeCell="N5" sqref="N5"/>
    </sheetView>
  </sheetViews>
  <sheetFormatPr defaultRowHeight="14.4" x14ac:dyDescent="0.3"/>
  <cols>
    <col min="10" max="10" width="86.5546875" customWidth="1"/>
  </cols>
  <sheetData>
    <row r="4" spans="9:10" ht="40.049999999999997" customHeight="1" x14ac:dyDescent="0.3">
      <c r="I4" s="4"/>
      <c r="J4" s="4" t="s">
        <v>325</v>
      </c>
    </row>
    <row r="5" spans="9:10" ht="40.049999999999997" customHeight="1" x14ac:dyDescent="0.3">
      <c r="I5" s="5" t="s">
        <v>282</v>
      </c>
      <c r="J5" s="5" t="s">
        <v>283</v>
      </c>
    </row>
    <row r="6" spans="9:10" ht="40.049999999999997" customHeight="1" x14ac:dyDescent="0.3">
      <c r="I6" s="6">
        <v>1</v>
      </c>
      <c r="J6" s="6" t="s">
        <v>326</v>
      </c>
    </row>
    <row r="7" spans="9:10" ht="40.049999999999997" customHeight="1" x14ac:dyDescent="0.3">
      <c r="I7" s="6">
        <v>2</v>
      </c>
      <c r="J7" s="6" t="s">
        <v>327</v>
      </c>
    </row>
    <row r="8" spans="9:10" ht="40.049999999999997" customHeight="1" x14ac:dyDescent="0.3">
      <c r="I8" s="6">
        <v>3</v>
      </c>
      <c r="J8" s="6" t="s">
        <v>328</v>
      </c>
    </row>
    <row r="9" spans="9:10" ht="40.049999999999997" customHeight="1" x14ac:dyDescent="0.3">
      <c r="I9" s="6">
        <v>4</v>
      </c>
      <c r="J9" s="6" t="s">
        <v>329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5FD8-99A6-4FC1-AD2A-338DE6FD5A0D}">
  <sheetPr>
    <tabColor rgb="FFFFC000"/>
  </sheetPr>
  <dimension ref="A1:U151"/>
  <sheetViews>
    <sheetView workbookViewId="0">
      <selection activeCell="G5" sqref="G5"/>
    </sheetView>
  </sheetViews>
  <sheetFormatPr defaultRowHeight="14.4" x14ac:dyDescent="0.3"/>
  <cols>
    <col min="1" max="21" width="20.77734375" customWidth="1"/>
  </cols>
  <sheetData>
    <row r="1" spans="1:21" ht="25.0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25.0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25.0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25.0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25.0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75C3-F6CE-4675-BE16-E740C0087FC7}">
  <sheetPr>
    <tabColor theme="8"/>
  </sheetPr>
  <dimension ref="H4:I9"/>
  <sheetViews>
    <sheetView topLeftCell="A2" workbookViewId="0">
      <selection activeCell="I17" sqref="I17"/>
    </sheetView>
  </sheetViews>
  <sheetFormatPr defaultRowHeight="14.4" x14ac:dyDescent="0.3"/>
  <cols>
    <col min="9" max="9" width="83.88671875" customWidth="1"/>
  </cols>
  <sheetData>
    <row r="4" spans="8:9" ht="30" customHeight="1" x14ac:dyDescent="0.3">
      <c r="H4" s="12"/>
      <c r="I4" s="4" t="s">
        <v>330</v>
      </c>
    </row>
    <row r="5" spans="8:9" ht="30" customHeight="1" x14ac:dyDescent="0.3">
      <c r="H5" s="5" t="s">
        <v>282</v>
      </c>
      <c r="I5" s="5" t="s">
        <v>283</v>
      </c>
    </row>
    <row r="6" spans="8:9" ht="30" customHeight="1" x14ac:dyDescent="0.3">
      <c r="H6" s="6">
        <v>1</v>
      </c>
      <c r="I6" s="6" t="s">
        <v>331</v>
      </c>
    </row>
    <row r="7" spans="8:9" ht="30" customHeight="1" x14ac:dyDescent="0.3">
      <c r="H7" s="6">
        <v>2</v>
      </c>
      <c r="I7" s="6" t="s">
        <v>332</v>
      </c>
    </row>
    <row r="8" spans="8:9" ht="30" customHeight="1" x14ac:dyDescent="0.3">
      <c r="H8" s="6">
        <v>3</v>
      </c>
      <c r="I8" s="6" t="s">
        <v>333</v>
      </c>
    </row>
    <row r="9" spans="8:9" ht="30" customHeight="1" x14ac:dyDescent="0.3">
      <c r="H9" s="6">
        <v>4</v>
      </c>
      <c r="I9" s="6" t="s">
        <v>334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D516-93BB-4A21-849D-60F73FAF7F3C}">
  <sheetPr>
    <tabColor rgb="FFFFC000"/>
  </sheetPr>
  <dimension ref="A1:U151"/>
  <sheetViews>
    <sheetView workbookViewId="0">
      <selection activeCell="J8" sqref="J8"/>
    </sheetView>
  </sheetViews>
  <sheetFormatPr defaultRowHeight="14.4" x14ac:dyDescent="0.3"/>
  <cols>
    <col min="1" max="21" width="20.77734375" customWidth="1"/>
  </cols>
  <sheetData>
    <row r="1" spans="1:21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C6B7-E26D-4D8F-A9AF-1DFF0AC8A50E}">
  <sheetPr>
    <tabColor rgb="FF00B0F0"/>
  </sheetPr>
  <dimension ref="A1:I151"/>
  <sheetViews>
    <sheetView workbookViewId="0">
      <selection activeCell="H20" sqref="H20"/>
    </sheetView>
  </sheetViews>
  <sheetFormatPr defaultRowHeight="14.4" x14ac:dyDescent="0.3"/>
  <cols>
    <col min="1" max="9" width="20.77734375" customWidth="1"/>
  </cols>
  <sheetData>
    <row r="1" spans="1:9" ht="19.9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7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7">
        <v>42022</v>
      </c>
      <c r="G4" s="7">
        <v>2</v>
      </c>
      <c r="H4" s="7" t="s">
        <v>178</v>
      </c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7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7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7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7">
        <v>42050</v>
      </c>
      <c r="G8" s="7" t="s">
        <v>178</v>
      </c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7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7">
        <v>42064</v>
      </c>
      <c r="G10" s="7" t="s">
        <v>178</v>
      </c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7">
        <v>42071</v>
      </c>
      <c r="G11" s="7" t="s">
        <v>178</v>
      </c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7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7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7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7">
        <v>42099</v>
      </c>
      <c r="G15" s="7">
        <v>4</v>
      </c>
      <c r="H15" s="7" t="s">
        <v>178</v>
      </c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7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7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7">
        <v>42120</v>
      </c>
      <c r="G18" s="7" t="s">
        <v>178</v>
      </c>
      <c r="H18" s="7" t="s">
        <v>178</v>
      </c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7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7">
        <v>42134</v>
      </c>
      <c r="G20" s="7" t="s">
        <v>178</v>
      </c>
      <c r="H20" s="7" t="s">
        <v>178</v>
      </c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7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7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7">
        <v>42155</v>
      </c>
      <c r="G23" s="7">
        <v>4</v>
      </c>
      <c r="H23" s="7" t="s">
        <v>178</v>
      </c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7">
        <v>42162</v>
      </c>
      <c r="G24" s="7">
        <v>5</v>
      </c>
      <c r="H24" s="7" t="s">
        <v>178</v>
      </c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7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7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7">
        <v>42183</v>
      </c>
      <c r="G27" s="7">
        <v>3</v>
      </c>
      <c r="H27" s="7" t="s">
        <v>178</v>
      </c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7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7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7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7">
        <v>42211</v>
      </c>
      <c r="G31" s="7">
        <v>5</v>
      </c>
      <c r="H31" s="7" t="s">
        <v>178</v>
      </c>
      <c r="I31" s="7" t="s">
        <v>209</v>
      </c>
    </row>
    <row r="32" spans="1:9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7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7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7">
        <v>42239</v>
      </c>
      <c r="G35" s="7" t="s">
        <v>178</v>
      </c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7">
        <v>42246</v>
      </c>
      <c r="G36" s="7">
        <v>3</v>
      </c>
      <c r="H36" s="7" t="s">
        <v>178</v>
      </c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7">
        <v>42253</v>
      </c>
      <c r="G37" s="7">
        <v>4</v>
      </c>
      <c r="H37" s="7" t="s">
        <v>180</v>
      </c>
      <c r="I37" s="7" t="s">
        <v>178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7">
        <v>42260</v>
      </c>
      <c r="G38" s="7" t="s">
        <v>178</v>
      </c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7">
        <v>42267</v>
      </c>
      <c r="G39" s="7" t="s">
        <v>178</v>
      </c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7">
        <v>42274</v>
      </c>
      <c r="G40" s="7">
        <v>5</v>
      </c>
      <c r="H40" s="7" t="s">
        <v>178</v>
      </c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7">
        <v>42281</v>
      </c>
      <c r="G41" s="7">
        <v>3</v>
      </c>
      <c r="H41" s="7" t="s">
        <v>178</v>
      </c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7">
        <v>42295</v>
      </c>
      <c r="G43" s="7" t="s">
        <v>178</v>
      </c>
      <c r="H43" s="7" t="s">
        <v>178</v>
      </c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7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7">
        <v>42309</v>
      </c>
      <c r="G45" s="7" t="s">
        <v>178</v>
      </c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7">
        <v>42316</v>
      </c>
      <c r="G46" s="7">
        <v>1</v>
      </c>
      <c r="H46" s="7" t="s">
        <v>178</v>
      </c>
      <c r="I46" s="7" t="s">
        <v>223</v>
      </c>
    </row>
    <row r="47" spans="1:9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7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7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7">
        <v>42337</v>
      </c>
      <c r="G49" s="7">
        <v>4</v>
      </c>
      <c r="H49" s="7" t="s">
        <v>178</v>
      </c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7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7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7">
        <v>42365</v>
      </c>
      <c r="G53" s="7">
        <v>5</v>
      </c>
      <c r="H53" s="7" t="s">
        <v>178</v>
      </c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7">
        <v>42372</v>
      </c>
      <c r="G54" s="7">
        <v>1</v>
      </c>
      <c r="H54" s="7" t="s">
        <v>178</v>
      </c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7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7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7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7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7">
        <v>42407</v>
      </c>
      <c r="G59" s="7">
        <v>3</v>
      </c>
      <c r="H59" s="7" t="s">
        <v>178</v>
      </c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7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7">
        <v>42421</v>
      </c>
      <c r="G61" s="7">
        <v>1</v>
      </c>
      <c r="H61" s="7" t="s">
        <v>178</v>
      </c>
      <c r="I61" s="7" t="s">
        <v>223</v>
      </c>
    </row>
    <row r="62" spans="1:9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7">
        <v>42435</v>
      </c>
      <c r="G63" s="7">
        <v>2</v>
      </c>
      <c r="H63" s="7" t="s">
        <v>178</v>
      </c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7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7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7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7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7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7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7">
        <v>42484</v>
      </c>
      <c r="G70" s="7">
        <v>2</v>
      </c>
      <c r="H70" s="7" t="s">
        <v>178</v>
      </c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7">
        <v>42491</v>
      </c>
      <c r="G71" s="7">
        <v>1</v>
      </c>
      <c r="H71" s="7" t="s">
        <v>178</v>
      </c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7">
        <v>42498</v>
      </c>
      <c r="G72" s="7">
        <v>5</v>
      </c>
      <c r="H72" s="7" t="s">
        <v>181</v>
      </c>
      <c r="I72" s="7" t="s">
        <v>178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7">
        <v>42505</v>
      </c>
      <c r="G73" s="7">
        <v>3</v>
      </c>
      <c r="H73" s="7" t="s">
        <v>178</v>
      </c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7">
        <v>42512</v>
      </c>
      <c r="G74" s="7" t="s">
        <v>178</v>
      </c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7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7">
        <v>42526</v>
      </c>
      <c r="G76" s="7" t="s">
        <v>178</v>
      </c>
      <c r="H76" s="7" t="s">
        <v>178</v>
      </c>
      <c r="I76" s="7" t="s">
        <v>211</v>
      </c>
    </row>
    <row r="77" spans="1:9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7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7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7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7">
        <v>42554</v>
      </c>
      <c r="G80" s="7">
        <v>2</v>
      </c>
      <c r="H80" s="7" t="s">
        <v>178</v>
      </c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7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7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7">
        <v>42582</v>
      </c>
      <c r="G84" s="7">
        <v>1</v>
      </c>
      <c r="H84" s="7" t="s">
        <v>178</v>
      </c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7">
        <v>42589</v>
      </c>
      <c r="G85" s="7" t="s">
        <v>178</v>
      </c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7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7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7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7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7">
        <v>42624</v>
      </c>
      <c r="G90" s="7">
        <v>3</v>
      </c>
      <c r="H90" s="7" t="s">
        <v>178</v>
      </c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7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7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7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7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7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7">
        <v>42666</v>
      </c>
      <c r="G96" s="7" t="s">
        <v>178</v>
      </c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7">
        <v>42673</v>
      </c>
      <c r="G97" s="7" t="s">
        <v>178</v>
      </c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7">
        <v>42680</v>
      </c>
      <c r="G98" s="7">
        <v>3</v>
      </c>
      <c r="H98" s="7" t="s">
        <v>178</v>
      </c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7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7">
        <v>42694</v>
      </c>
      <c r="G100" s="7" t="s">
        <v>178</v>
      </c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7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7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7">
        <v>42715</v>
      </c>
      <c r="G103" s="7" t="s">
        <v>178</v>
      </c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7">
        <v>42722</v>
      </c>
      <c r="G104" s="7" t="s">
        <v>178</v>
      </c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7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7">
        <v>42736</v>
      </c>
      <c r="G106" s="7">
        <v>1</v>
      </c>
      <c r="H106" s="7" t="s">
        <v>178</v>
      </c>
      <c r="I106" s="7" t="s">
        <v>259</v>
      </c>
    </row>
    <row r="107" spans="1:9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7">
        <v>42743</v>
      </c>
      <c r="G107" s="7">
        <v>3</v>
      </c>
      <c r="H107" s="7" t="s">
        <v>179</v>
      </c>
      <c r="I107" s="7" t="s">
        <v>178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7">
        <v>42750</v>
      </c>
      <c r="G108" s="7" t="s">
        <v>178</v>
      </c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7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7">
        <v>42764</v>
      </c>
      <c r="G110" s="7">
        <v>1</v>
      </c>
      <c r="H110" s="7" t="s">
        <v>178</v>
      </c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7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7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7">
        <v>42792</v>
      </c>
      <c r="G114" s="7" t="s">
        <v>178</v>
      </c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7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7">
        <v>42806</v>
      </c>
      <c r="G116" s="7">
        <v>4</v>
      </c>
      <c r="H116" s="7" t="s">
        <v>178</v>
      </c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7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7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7">
        <v>42827</v>
      </c>
      <c r="G119" s="7">
        <v>1</v>
      </c>
      <c r="H119" s="7" t="s">
        <v>178</v>
      </c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7">
        <v>42834</v>
      </c>
      <c r="G120" s="7">
        <v>3</v>
      </c>
      <c r="H120" s="7" t="s">
        <v>178</v>
      </c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7">
        <v>42841</v>
      </c>
      <c r="G121" s="7" t="s">
        <v>178</v>
      </c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7">
        <v>42855</v>
      </c>
      <c r="G123" s="7">
        <v>2</v>
      </c>
      <c r="H123" s="7" t="s">
        <v>178</v>
      </c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7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7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7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7">
        <v>42883</v>
      </c>
      <c r="G127" s="7">
        <v>5</v>
      </c>
      <c r="H127" s="7" t="s">
        <v>178</v>
      </c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7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7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7">
        <v>42904</v>
      </c>
      <c r="G130" s="7">
        <v>1</v>
      </c>
      <c r="H130" s="7" t="s">
        <v>178</v>
      </c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7">
        <v>42911</v>
      </c>
      <c r="G131" s="7" t="s">
        <v>178</v>
      </c>
      <c r="H131" s="7" t="s">
        <v>178</v>
      </c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7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7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7">
        <v>42939</v>
      </c>
      <c r="G135" s="7">
        <v>3</v>
      </c>
      <c r="H135" s="7" t="s">
        <v>178</v>
      </c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7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7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7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7">
        <v>42967</v>
      </c>
      <c r="G139" s="7" t="s">
        <v>178</v>
      </c>
      <c r="H139" s="7" t="s">
        <v>178</v>
      </c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7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7">
        <v>42981</v>
      </c>
      <c r="G141" s="7">
        <v>2</v>
      </c>
      <c r="H141" s="7" t="s">
        <v>178</v>
      </c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7">
        <v>42988</v>
      </c>
      <c r="G142" s="7">
        <v>4</v>
      </c>
      <c r="H142" s="7" t="s">
        <v>179</v>
      </c>
      <c r="I142" s="7" t="s">
        <v>178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7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7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7">
        <v>43009</v>
      </c>
      <c r="G145" s="7" t="s">
        <v>178</v>
      </c>
      <c r="H145" s="7" t="s">
        <v>178</v>
      </c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7">
        <v>43016</v>
      </c>
      <c r="G146" s="7">
        <v>2</v>
      </c>
      <c r="H146" s="7" t="s">
        <v>178</v>
      </c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7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7">
        <v>43030</v>
      </c>
      <c r="G148" s="7">
        <v>2</v>
      </c>
      <c r="H148" s="7" t="s">
        <v>178</v>
      </c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7">
        <v>43037</v>
      </c>
      <c r="G149" s="7">
        <v>1</v>
      </c>
      <c r="H149" s="7" t="s">
        <v>178</v>
      </c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7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7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186A-4C8C-4C95-95F9-ABA17E9B0655}">
  <sheetPr>
    <tabColor theme="8"/>
  </sheetPr>
  <dimension ref="F3:G8"/>
  <sheetViews>
    <sheetView workbookViewId="0">
      <selection activeCell="F17" sqref="F17"/>
    </sheetView>
  </sheetViews>
  <sheetFormatPr defaultRowHeight="14.4" x14ac:dyDescent="0.3"/>
  <cols>
    <col min="7" max="7" width="91.109375" customWidth="1"/>
  </cols>
  <sheetData>
    <row r="3" spans="6:7" ht="25.05" customHeight="1" x14ac:dyDescent="0.3">
      <c r="F3" s="15"/>
      <c r="G3" s="15" t="s">
        <v>335</v>
      </c>
    </row>
    <row r="4" spans="6:7" ht="25.05" customHeight="1" x14ac:dyDescent="0.3">
      <c r="F4" s="16" t="s">
        <v>282</v>
      </c>
      <c r="G4" s="16" t="s">
        <v>283</v>
      </c>
    </row>
    <row r="5" spans="6:7" ht="25.05" customHeight="1" x14ac:dyDescent="0.3">
      <c r="F5" s="14">
        <v>1</v>
      </c>
      <c r="G5" s="14" t="s">
        <v>336</v>
      </c>
    </row>
    <row r="6" spans="6:7" ht="25.05" customHeight="1" x14ac:dyDescent="0.3">
      <c r="F6" s="14">
        <v>2</v>
      </c>
      <c r="G6" s="14" t="s">
        <v>337</v>
      </c>
    </row>
    <row r="7" spans="6:7" ht="25.05" customHeight="1" x14ac:dyDescent="0.3">
      <c r="F7" s="14">
        <v>3</v>
      </c>
      <c r="G7" s="14" t="s">
        <v>338</v>
      </c>
    </row>
    <row r="8" spans="6:7" ht="25.05" customHeight="1" x14ac:dyDescent="0.3">
      <c r="F8" s="14">
        <v>4</v>
      </c>
      <c r="G8" s="14" t="s">
        <v>339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2762-415C-4327-8DA8-8C9E3E8A53BB}">
  <sheetPr>
    <tabColor rgb="FFFFC000"/>
  </sheetPr>
  <dimension ref="A1:M151"/>
  <sheetViews>
    <sheetView topLeftCell="F1" workbookViewId="0">
      <selection activeCell="O17" sqref="O17"/>
    </sheetView>
  </sheetViews>
  <sheetFormatPr defaultRowHeight="14.4" x14ac:dyDescent="0.3"/>
  <cols>
    <col min="1" max="11" width="20.77734375" customWidth="1"/>
    <col min="12" max="13" width="29.5546875" customWidth="1"/>
  </cols>
  <sheetData>
    <row r="1" spans="1:13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354</v>
      </c>
      <c r="K1" s="9" t="s">
        <v>355</v>
      </c>
      <c r="L1" s="9" t="s">
        <v>356</v>
      </c>
      <c r="M1" s="9" t="s">
        <v>357</v>
      </c>
    </row>
    <row r="2" spans="1:13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178</v>
      </c>
      <c r="K2" s="7" t="s">
        <v>358</v>
      </c>
      <c r="L2" s="7" t="str">
        <f>TRIM(B2)</f>
        <v>Unknown</v>
      </c>
      <c r="M2" s="7" t="s">
        <v>178</v>
      </c>
    </row>
    <row r="3" spans="1:13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340</v>
      </c>
      <c r="K3" s="7" t="s">
        <v>341</v>
      </c>
      <c r="L3" s="7" t="str">
        <f t="shared" ref="L3:L66" si="0">TRIM(B3)</f>
        <v>Eve Adams</v>
      </c>
      <c r="M3" s="7" t="s">
        <v>340</v>
      </c>
    </row>
    <row r="4" spans="1:13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342</v>
      </c>
      <c r="K4" s="7" t="s">
        <v>343</v>
      </c>
      <c r="L4" s="7" t="str">
        <f t="shared" si="0"/>
        <v>Alice Brown</v>
      </c>
      <c r="M4" s="7" t="s">
        <v>342</v>
      </c>
    </row>
    <row r="5" spans="1:13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344</v>
      </c>
      <c r="K5" s="7" t="s">
        <v>345</v>
      </c>
      <c r="L5" s="7" t="str">
        <f t="shared" si="0"/>
        <v>John Doe</v>
      </c>
      <c r="M5" s="7" t="s">
        <v>344</v>
      </c>
    </row>
    <row r="6" spans="1:13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346</v>
      </c>
      <c r="K6" s="7" t="s">
        <v>347</v>
      </c>
      <c r="L6" s="7" t="str">
        <f t="shared" si="0"/>
        <v>Jane Smith</v>
      </c>
      <c r="M6" s="7" t="s">
        <v>346</v>
      </c>
    </row>
    <row r="7" spans="1:13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 t="s">
        <v>342</v>
      </c>
      <c r="K7" s="7" t="s">
        <v>343</v>
      </c>
      <c r="L7" s="7" t="str">
        <f t="shared" si="0"/>
        <v>Alice Brown</v>
      </c>
      <c r="M7" s="7" t="s">
        <v>342</v>
      </c>
    </row>
    <row r="8" spans="1:13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 t="s">
        <v>348</v>
      </c>
      <c r="K8" s="7" t="s">
        <v>349</v>
      </c>
      <c r="L8" s="7" t="str">
        <f t="shared" si="0"/>
        <v>Sam Wilson</v>
      </c>
      <c r="M8" s="7" t="s">
        <v>348</v>
      </c>
    </row>
    <row r="9" spans="1:13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 t="s">
        <v>350</v>
      </c>
      <c r="K9" s="7" t="s">
        <v>351</v>
      </c>
      <c r="L9" s="7" t="str">
        <f t="shared" si="0"/>
        <v>Chris Lee</v>
      </c>
      <c r="M9" s="7" t="s">
        <v>350</v>
      </c>
    </row>
    <row r="10" spans="1:13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 t="s">
        <v>342</v>
      </c>
      <c r="K10" s="7" t="s">
        <v>343</v>
      </c>
      <c r="L10" s="7" t="str">
        <f t="shared" si="0"/>
        <v>Alice Brown</v>
      </c>
      <c r="M10" s="7" t="s">
        <v>342</v>
      </c>
    </row>
    <row r="11" spans="1:13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 t="s">
        <v>350</v>
      </c>
      <c r="K11" s="7" t="s">
        <v>351</v>
      </c>
      <c r="L11" s="7" t="str">
        <f t="shared" si="0"/>
        <v>Chris Lee</v>
      </c>
      <c r="M11" s="7" t="s">
        <v>350</v>
      </c>
    </row>
    <row r="12" spans="1:13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 t="s">
        <v>348</v>
      </c>
      <c r="K12" s="7" t="s">
        <v>349</v>
      </c>
      <c r="L12" s="7" t="str">
        <f t="shared" si="0"/>
        <v>Sam Wilson</v>
      </c>
      <c r="M12" s="7" t="s">
        <v>348</v>
      </c>
    </row>
    <row r="13" spans="1:13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 t="s">
        <v>348</v>
      </c>
      <c r="K13" s="7" t="s">
        <v>349</v>
      </c>
      <c r="L13" s="7" t="str">
        <f t="shared" si="0"/>
        <v>Sam Wilson</v>
      </c>
      <c r="M13" s="7" t="s">
        <v>348</v>
      </c>
    </row>
    <row r="14" spans="1:13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 t="s">
        <v>352</v>
      </c>
      <c r="K14" s="7" t="s">
        <v>353</v>
      </c>
      <c r="L14" s="7" t="str">
        <f t="shared" si="0"/>
        <v>Bob Johnson</v>
      </c>
      <c r="M14" s="7" t="s">
        <v>352</v>
      </c>
    </row>
    <row r="15" spans="1:13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 t="s">
        <v>348</v>
      </c>
      <c r="K15" s="7" t="s">
        <v>349</v>
      </c>
      <c r="L15" s="7" t="str">
        <f t="shared" si="0"/>
        <v>Sam Wilson</v>
      </c>
      <c r="M15" s="7" t="s">
        <v>348</v>
      </c>
    </row>
    <row r="16" spans="1:13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 t="s">
        <v>346</v>
      </c>
      <c r="K16" s="7" t="s">
        <v>347</v>
      </c>
      <c r="L16" s="7" t="str">
        <f t="shared" si="0"/>
        <v>Jane Smith</v>
      </c>
      <c r="M16" s="7" t="s">
        <v>346</v>
      </c>
    </row>
    <row r="17" spans="1:13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 t="s">
        <v>178</v>
      </c>
      <c r="K17" s="7" t="s">
        <v>358</v>
      </c>
      <c r="L17" s="7" t="str">
        <f t="shared" si="0"/>
        <v>Unknown</v>
      </c>
      <c r="M17" s="7" t="s">
        <v>178</v>
      </c>
    </row>
    <row r="18" spans="1:13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 t="s">
        <v>352</v>
      </c>
      <c r="K18" s="7" t="s">
        <v>353</v>
      </c>
      <c r="L18" s="7" t="str">
        <f t="shared" si="0"/>
        <v>Bob Johnson</v>
      </c>
      <c r="M18" s="7" t="s">
        <v>352</v>
      </c>
    </row>
    <row r="19" spans="1:13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 t="s">
        <v>346</v>
      </c>
      <c r="K19" s="7" t="s">
        <v>347</v>
      </c>
      <c r="L19" s="7" t="str">
        <f t="shared" si="0"/>
        <v>Jane Smith</v>
      </c>
      <c r="M19" s="7" t="s">
        <v>346</v>
      </c>
    </row>
    <row r="20" spans="1:13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 t="s">
        <v>342</v>
      </c>
      <c r="K20" s="7" t="s">
        <v>343</v>
      </c>
      <c r="L20" s="7" t="str">
        <f t="shared" si="0"/>
        <v>Alice Brown</v>
      </c>
      <c r="M20" s="7" t="s">
        <v>342</v>
      </c>
    </row>
    <row r="21" spans="1:13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 t="s">
        <v>340</v>
      </c>
      <c r="K21" s="7" t="s">
        <v>341</v>
      </c>
      <c r="L21" s="7" t="str">
        <f t="shared" si="0"/>
        <v>Eve Adams</v>
      </c>
      <c r="M21" s="7" t="s">
        <v>340</v>
      </c>
    </row>
    <row r="22" spans="1:13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 t="s">
        <v>346</v>
      </c>
      <c r="K22" s="7" t="s">
        <v>347</v>
      </c>
      <c r="L22" s="7" t="str">
        <f t="shared" si="0"/>
        <v>Jane Smith</v>
      </c>
      <c r="M22" s="7" t="s">
        <v>346</v>
      </c>
    </row>
    <row r="23" spans="1:13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 t="s">
        <v>346</v>
      </c>
      <c r="K23" s="7" t="s">
        <v>347</v>
      </c>
      <c r="L23" s="7" t="str">
        <f t="shared" si="0"/>
        <v>Jane Smith</v>
      </c>
      <c r="M23" s="7" t="s">
        <v>346</v>
      </c>
    </row>
    <row r="24" spans="1:13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 t="s">
        <v>340</v>
      </c>
      <c r="K24" s="7" t="s">
        <v>341</v>
      </c>
      <c r="L24" s="7" t="str">
        <f t="shared" si="0"/>
        <v>Eve Adams</v>
      </c>
      <c r="M24" s="7" t="s">
        <v>340</v>
      </c>
    </row>
    <row r="25" spans="1:13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 t="s">
        <v>342</v>
      </c>
      <c r="K25" s="7" t="s">
        <v>343</v>
      </c>
      <c r="L25" s="7" t="str">
        <f t="shared" si="0"/>
        <v>Alice Brown</v>
      </c>
      <c r="M25" s="7" t="s">
        <v>342</v>
      </c>
    </row>
    <row r="26" spans="1:13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 t="s">
        <v>348</v>
      </c>
      <c r="K26" s="7" t="s">
        <v>349</v>
      </c>
      <c r="L26" s="7" t="str">
        <f t="shared" si="0"/>
        <v>Sam Wilson</v>
      </c>
      <c r="M26" s="7" t="s">
        <v>348</v>
      </c>
    </row>
    <row r="27" spans="1:13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 t="s">
        <v>350</v>
      </c>
      <c r="K27" s="7" t="s">
        <v>351</v>
      </c>
      <c r="L27" s="7" t="str">
        <f t="shared" si="0"/>
        <v>Chris Lee</v>
      </c>
      <c r="M27" s="7" t="s">
        <v>350</v>
      </c>
    </row>
    <row r="28" spans="1:13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 t="s">
        <v>340</v>
      </c>
      <c r="K28" s="7" t="s">
        <v>341</v>
      </c>
      <c r="L28" s="7" t="str">
        <f t="shared" si="0"/>
        <v>Eve Adams</v>
      </c>
      <c r="M28" s="7" t="s">
        <v>340</v>
      </c>
    </row>
    <row r="29" spans="1:13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 t="s">
        <v>342</v>
      </c>
      <c r="K29" s="7" t="s">
        <v>343</v>
      </c>
      <c r="L29" s="7" t="str">
        <f t="shared" si="0"/>
        <v>Alice Brown</v>
      </c>
      <c r="M29" s="7" t="s">
        <v>342</v>
      </c>
    </row>
    <row r="30" spans="1:13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 t="s">
        <v>344</v>
      </c>
      <c r="K30" s="7" t="s">
        <v>345</v>
      </c>
      <c r="L30" s="7" t="str">
        <f t="shared" si="0"/>
        <v>John Doe</v>
      </c>
      <c r="M30" s="7" t="s">
        <v>344</v>
      </c>
    </row>
    <row r="31" spans="1:13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 t="s">
        <v>352</v>
      </c>
      <c r="K31" s="7" t="s">
        <v>353</v>
      </c>
      <c r="L31" s="7" t="str">
        <f t="shared" si="0"/>
        <v>Bob Johnson</v>
      </c>
      <c r="M31" s="7" t="s">
        <v>352</v>
      </c>
    </row>
    <row r="32" spans="1:13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 t="s">
        <v>178</v>
      </c>
      <c r="K32" s="7" t="s">
        <v>358</v>
      </c>
      <c r="L32" s="7" t="str">
        <f t="shared" si="0"/>
        <v>Unknown</v>
      </c>
      <c r="M32" s="7" t="s">
        <v>178</v>
      </c>
    </row>
    <row r="33" spans="1:13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 t="s">
        <v>340</v>
      </c>
      <c r="K33" s="7" t="s">
        <v>341</v>
      </c>
      <c r="L33" s="7" t="str">
        <f t="shared" si="0"/>
        <v>Eve Adams</v>
      </c>
      <c r="M33" s="7" t="s">
        <v>340</v>
      </c>
    </row>
    <row r="34" spans="1:13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 t="s">
        <v>348</v>
      </c>
      <c r="K34" s="7" t="s">
        <v>349</v>
      </c>
      <c r="L34" s="7" t="str">
        <f t="shared" si="0"/>
        <v>Sam Wilson</v>
      </c>
      <c r="M34" s="7" t="s">
        <v>348</v>
      </c>
    </row>
    <row r="35" spans="1:13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 t="s">
        <v>350</v>
      </c>
      <c r="K35" s="7" t="s">
        <v>351</v>
      </c>
      <c r="L35" s="7" t="str">
        <f t="shared" si="0"/>
        <v>Chris Lee</v>
      </c>
      <c r="M35" s="7" t="s">
        <v>350</v>
      </c>
    </row>
    <row r="36" spans="1:13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 t="s">
        <v>344</v>
      </c>
      <c r="K36" s="7" t="s">
        <v>345</v>
      </c>
      <c r="L36" s="7" t="str">
        <f t="shared" si="0"/>
        <v>John Doe</v>
      </c>
      <c r="M36" s="7" t="s">
        <v>344</v>
      </c>
    </row>
    <row r="37" spans="1:13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 t="s">
        <v>342</v>
      </c>
      <c r="K37" s="7" t="s">
        <v>343</v>
      </c>
      <c r="L37" s="7" t="str">
        <f t="shared" si="0"/>
        <v>Alice Brown</v>
      </c>
      <c r="M37" s="7" t="s">
        <v>342</v>
      </c>
    </row>
    <row r="38" spans="1:13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 t="s">
        <v>342</v>
      </c>
      <c r="K38" s="7" t="s">
        <v>343</v>
      </c>
      <c r="L38" s="7" t="str">
        <f t="shared" si="0"/>
        <v>Alice Brown</v>
      </c>
      <c r="M38" s="7" t="s">
        <v>342</v>
      </c>
    </row>
    <row r="39" spans="1:13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 t="s">
        <v>342</v>
      </c>
      <c r="K39" s="7" t="s">
        <v>343</v>
      </c>
      <c r="L39" s="7" t="str">
        <f t="shared" si="0"/>
        <v>Alice Brown</v>
      </c>
      <c r="M39" s="7" t="s">
        <v>342</v>
      </c>
    </row>
    <row r="40" spans="1:13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 t="s">
        <v>344</v>
      </c>
      <c r="K40" s="7" t="s">
        <v>345</v>
      </c>
      <c r="L40" s="7" t="str">
        <f t="shared" si="0"/>
        <v>John Doe</v>
      </c>
      <c r="M40" s="7" t="s">
        <v>344</v>
      </c>
    </row>
    <row r="41" spans="1:13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 t="s">
        <v>350</v>
      </c>
      <c r="K41" s="7" t="s">
        <v>351</v>
      </c>
      <c r="L41" s="7" t="str">
        <f t="shared" si="0"/>
        <v>Chris Lee</v>
      </c>
      <c r="M41" s="7" t="s">
        <v>350</v>
      </c>
    </row>
    <row r="42" spans="1:13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 t="s">
        <v>352</v>
      </c>
      <c r="K42" s="7" t="s">
        <v>353</v>
      </c>
      <c r="L42" s="7" t="str">
        <f t="shared" si="0"/>
        <v>Bob Johnson</v>
      </c>
      <c r="M42" s="7" t="s">
        <v>352</v>
      </c>
    </row>
    <row r="43" spans="1:13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 t="s">
        <v>342</v>
      </c>
      <c r="K43" s="7" t="s">
        <v>343</v>
      </c>
      <c r="L43" s="7" t="str">
        <f t="shared" si="0"/>
        <v>Alice Brown</v>
      </c>
      <c r="M43" s="7" t="s">
        <v>342</v>
      </c>
    </row>
    <row r="44" spans="1:13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 t="s">
        <v>352</v>
      </c>
      <c r="K44" s="7" t="s">
        <v>353</v>
      </c>
      <c r="L44" s="7" t="str">
        <f t="shared" si="0"/>
        <v>Bob Johnson</v>
      </c>
      <c r="M44" s="7" t="s">
        <v>352</v>
      </c>
    </row>
    <row r="45" spans="1:13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 t="s">
        <v>342</v>
      </c>
      <c r="K45" s="7" t="s">
        <v>343</v>
      </c>
      <c r="L45" s="7" t="str">
        <f t="shared" si="0"/>
        <v>Alice Brown</v>
      </c>
      <c r="M45" s="7" t="s">
        <v>342</v>
      </c>
    </row>
    <row r="46" spans="1:13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 t="s">
        <v>350</v>
      </c>
      <c r="K46" s="7" t="s">
        <v>351</v>
      </c>
      <c r="L46" s="7" t="str">
        <f t="shared" si="0"/>
        <v>Chris Lee</v>
      </c>
      <c r="M46" s="7" t="s">
        <v>350</v>
      </c>
    </row>
    <row r="47" spans="1:13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 t="s">
        <v>178</v>
      </c>
      <c r="K47" s="7" t="s">
        <v>358</v>
      </c>
      <c r="L47" s="7" t="str">
        <f t="shared" si="0"/>
        <v>Unknown</v>
      </c>
      <c r="M47" s="7" t="s">
        <v>178</v>
      </c>
    </row>
    <row r="48" spans="1:13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 t="s">
        <v>350</v>
      </c>
      <c r="K48" s="7" t="s">
        <v>351</v>
      </c>
      <c r="L48" s="7" t="str">
        <f t="shared" si="0"/>
        <v>Chris Lee</v>
      </c>
      <c r="M48" s="7" t="s">
        <v>350</v>
      </c>
    </row>
    <row r="49" spans="1:13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 t="s">
        <v>350</v>
      </c>
      <c r="K49" s="7" t="s">
        <v>351</v>
      </c>
      <c r="L49" s="7" t="str">
        <f t="shared" si="0"/>
        <v>Chris Lee</v>
      </c>
      <c r="M49" s="7" t="s">
        <v>350</v>
      </c>
    </row>
    <row r="50" spans="1:13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 t="s">
        <v>344</v>
      </c>
      <c r="K50" s="7" t="s">
        <v>345</v>
      </c>
      <c r="L50" s="7" t="str">
        <f t="shared" si="0"/>
        <v>John Doe</v>
      </c>
      <c r="M50" s="7" t="s">
        <v>344</v>
      </c>
    </row>
    <row r="51" spans="1:13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 t="s">
        <v>340</v>
      </c>
      <c r="K51" s="7" t="s">
        <v>341</v>
      </c>
      <c r="L51" s="7" t="str">
        <f t="shared" si="0"/>
        <v>Eve Adams</v>
      </c>
      <c r="M51" s="7" t="s">
        <v>340</v>
      </c>
    </row>
    <row r="52" spans="1:13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 t="s">
        <v>350</v>
      </c>
      <c r="K52" s="7" t="s">
        <v>351</v>
      </c>
      <c r="L52" s="7" t="str">
        <f t="shared" si="0"/>
        <v>Chris Lee</v>
      </c>
      <c r="M52" s="7" t="s">
        <v>350</v>
      </c>
    </row>
    <row r="53" spans="1:13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 t="s">
        <v>348</v>
      </c>
      <c r="K53" s="7" t="s">
        <v>349</v>
      </c>
      <c r="L53" s="7" t="str">
        <f t="shared" si="0"/>
        <v>Sam Wilson</v>
      </c>
      <c r="M53" s="7" t="s">
        <v>348</v>
      </c>
    </row>
    <row r="54" spans="1:13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 t="s">
        <v>340</v>
      </c>
      <c r="K54" s="7" t="s">
        <v>341</v>
      </c>
      <c r="L54" s="7" t="str">
        <f t="shared" si="0"/>
        <v>Eve Adams</v>
      </c>
      <c r="M54" s="7" t="s">
        <v>340</v>
      </c>
    </row>
    <row r="55" spans="1:13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 t="s">
        <v>340</v>
      </c>
      <c r="K55" s="7" t="s">
        <v>341</v>
      </c>
      <c r="L55" s="7" t="str">
        <f t="shared" si="0"/>
        <v>Eve Adams</v>
      </c>
      <c r="M55" s="7" t="s">
        <v>340</v>
      </c>
    </row>
    <row r="56" spans="1:13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 t="s">
        <v>352</v>
      </c>
      <c r="K56" s="7" t="s">
        <v>353</v>
      </c>
      <c r="L56" s="7" t="str">
        <f t="shared" si="0"/>
        <v>Bob Johnson</v>
      </c>
      <c r="M56" s="7" t="s">
        <v>352</v>
      </c>
    </row>
    <row r="57" spans="1:13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 t="s">
        <v>350</v>
      </c>
      <c r="K57" s="7" t="s">
        <v>351</v>
      </c>
      <c r="L57" s="7" t="str">
        <f t="shared" si="0"/>
        <v>Chris Lee</v>
      </c>
      <c r="M57" s="7" t="s">
        <v>350</v>
      </c>
    </row>
    <row r="58" spans="1:13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 t="s">
        <v>344</v>
      </c>
      <c r="K58" s="7" t="s">
        <v>345</v>
      </c>
      <c r="L58" s="7" t="str">
        <f t="shared" si="0"/>
        <v>John Doe</v>
      </c>
      <c r="M58" s="7" t="s">
        <v>344</v>
      </c>
    </row>
    <row r="59" spans="1:13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 t="s">
        <v>340</v>
      </c>
      <c r="K59" s="7" t="s">
        <v>341</v>
      </c>
      <c r="L59" s="7" t="str">
        <f t="shared" si="0"/>
        <v>Eve Adams</v>
      </c>
      <c r="M59" s="7" t="s">
        <v>340</v>
      </c>
    </row>
    <row r="60" spans="1:13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 t="s">
        <v>348</v>
      </c>
      <c r="K60" s="7" t="s">
        <v>349</v>
      </c>
      <c r="L60" s="7" t="str">
        <f t="shared" si="0"/>
        <v>Sam Wilson</v>
      </c>
      <c r="M60" s="7" t="s">
        <v>348</v>
      </c>
    </row>
    <row r="61" spans="1:13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 t="s">
        <v>348</v>
      </c>
      <c r="K61" s="7" t="s">
        <v>349</v>
      </c>
      <c r="L61" s="7" t="str">
        <f t="shared" si="0"/>
        <v>Sam Wilson</v>
      </c>
      <c r="M61" s="7" t="s">
        <v>348</v>
      </c>
    </row>
    <row r="62" spans="1:13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 t="s">
        <v>178</v>
      </c>
      <c r="K62" s="7" t="s">
        <v>358</v>
      </c>
      <c r="L62" s="7" t="str">
        <f t="shared" si="0"/>
        <v>Unknown</v>
      </c>
      <c r="M62" s="7" t="s">
        <v>178</v>
      </c>
    </row>
    <row r="63" spans="1:13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 t="s">
        <v>340</v>
      </c>
      <c r="K63" s="7" t="s">
        <v>341</v>
      </c>
      <c r="L63" s="7" t="str">
        <f t="shared" si="0"/>
        <v>Eve Adams</v>
      </c>
      <c r="M63" s="7" t="s">
        <v>340</v>
      </c>
    </row>
    <row r="64" spans="1:13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 t="s">
        <v>350</v>
      </c>
      <c r="K64" s="7" t="s">
        <v>351</v>
      </c>
      <c r="L64" s="7" t="str">
        <f t="shared" si="0"/>
        <v>Chris Lee</v>
      </c>
      <c r="M64" s="7" t="s">
        <v>350</v>
      </c>
    </row>
    <row r="65" spans="1:13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 t="s">
        <v>340</v>
      </c>
      <c r="K65" s="7" t="s">
        <v>341</v>
      </c>
      <c r="L65" s="7" t="str">
        <f t="shared" si="0"/>
        <v>Eve Adams</v>
      </c>
      <c r="M65" s="7" t="s">
        <v>340</v>
      </c>
    </row>
    <row r="66" spans="1:13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 t="s">
        <v>344</v>
      </c>
      <c r="K66" s="7" t="s">
        <v>345</v>
      </c>
      <c r="L66" s="7" t="str">
        <f t="shared" si="0"/>
        <v>John Doe</v>
      </c>
      <c r="M66" s="7" t="s">
        <v>344</v>
      </c>
    </row>
    <row r="67" spans="1:13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 t="s">
        <v>348</v>
      </c>
      <c r="K67" s="7" t="s">
        <v>349</v>
      </c>
      <c r="L67" s="7" t="str">
        <f t="shared" ref="L67:L130" si="1">TRIM(B67)</f>
        <v>Sam Wilson</v>
      </c>
      <c r="M67" s="7" t="s">
        <v>348</v>
      </c>
    </row>
    <row r="68" spans="1:13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 t="s">
        <v>348</v>
      </c>
      <c r="K68" s="7" t="s">
        <v>349</v>
      </c>
      <c r="L68" s="7" t="str">
        <f t="shared" si="1"/>
        <v>Sam Wilson</v>
      </c>
      <c r="M68" s="7" t="s">
        <v>348</v>
      </c>
    </row>
    <row r="69" spans="1:13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 t="s">
        <v>342</v>
      </c>
      <c r="K69" s="7" t="s">
        <v>343</v>
      </c>
      <c r="L69" s="7" t="str">
        <f t="shared" si="1"/>
        <v>Alice Brown</v>
      </c>
      <c r="M69" s="7" t="s">
        <v>342</v>
      </c>
    </row>
    <row r="70" spans="1:13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 t="s">
        <v>348</v>
      </c>
      <c r="K70" s="7" t="s">
        <v>349</v>
      </c>
      <c r="L70" s="7" t="str">
        <f t="shared" si="1"/>
        <v>Sam Wilson</v>
      </c>
      <c r="M70" s="7" t="s">
        <v>348</v>
      </c>
    </row>
    <row r="71" spans="1:13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 t="s">
        <v>352</v>
      </c>
      <c r="K71" s="7" t="s">
        <v>353</v>
      </c>
      <c r="L71" s="7" t="str">
        <f t="shared" si="1"/>
        <v>Bob Johnson</v>
      </c>
      <c r="M71" s="7" t="s">
        <v>352</v>
      </c>
    </row>
    <row r="72" spans="1:13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 t="s">
        <v>340</v>
      </c>
      <c r="K72" s="7" t="s">
        <v>341</v>
      </c>
      <c r="L72" s="7" t="str">
        <f t="shared" si="1"/>
        <v>Eve Adams</v>
      </c>
      <c r="M72" s="7" t="s">
        <v>340</v>
      </c>
    </row>
    <row r="73" spans="1:13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 t="s">
        <v>340</v>
      </c>
      <c r="K73" s="7" t="s">
        <v>341</v>
      </c>
      <c r="L73" s="7" t="str">
        <f t="shared" si="1"/>
        <v>Eve Adams</v>
      </c>
      <c r="M73" s="7" t="s">
        <v>340</v>
      </c>
    </row>
    <row r="74" spans="1:13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 t="s">
        <v>352</v>
      </c>
      <c r="K74" s="7" t="s">
        <v>353</v>
      </c>
      <c r="L74" s="7" t="str">
        <f t="shared" si="1"/>
        <v>Bob Johnson</v>
      </c>
      <c r="M74" s="7" t="s">
        <v>352</v>
      </c>
    </row>
    <row r="75" spans="1:13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 t="s">
        <v>344</v>
      </c>
      <c r="K75" s="7" t="s">
        <v>345</v>
      </c>
      <c r="L75" s="7" t="str">
        <f t="shared" si="1"/>
        <v>John Doe</v>
      </c>
      <c r="M75" s="7" t="s">
        <v>344</v>
      </c>
    </row>
    <row r="76" spans="1:13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 t="s">
        <v>348</v>
      </c>
      <c r="K76" s="7" t="s">
        <v>349</v>
      </c>
      <c r="L76" s="7" t="str">
        <f t="shared" si="1"/>
        <v>Sam Wilson</v>
      </c>
      <c r="M76" s="7" t="s">
        <v>348</v>
      </c>
    </row>
    <row r="77" spans="1:13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 t="s">
        <v>178</v>
      </c>
      <c r="K77" s="7" t="s">
        <v>358</v>
      </c>
      <c r="L77" s="7" t="str">
        <f t="shared" si="1"/>
        <v>Unknown</v>
      </c>
      <c r="M77" s="7" t="s">
        <v>178</v>
      </c>
    </row>
    <row r="78" spans="1:13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 t="s">
        <v>340</v>
      </c>
      <c r="K78" s="7" t="s">
        <v>341</v>
      </c>
      <c r="L78" s="7" t="str">
        <f t="shared" si="1"/>
        <v>Eve Adams</v>
      </c>
      <c r="M78" s="7" t="s">
        <v>340</v>
      </c>
    </row>
    <row r="79" spans="1:13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 t="s">
        <v>346</v>
      </c>
      <c r="K79" s="7" t="s">
        <v>347</v>
      </c>
      <c r="L79" s="7" t="str">
        <f t="shared" si="1"/>
        <v>Jane Smith</v>
      </c>
      <c r="M79" s="7" t="s">
        <v>346</v>
      </c>
    </row>
    <row r="80" spans="1:13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 t="s">
        <v>348</v>
      </c>
      <c r="K80" s="7" t="s">
        <v>349</v>
      </c>
      <c r="L80" s="7" t="str">
        <f t="shared" si="1"/>
        <v>Sam Wilson</v>
      </c>
      <c r="M80" s="7" t="s">
        <v>348</v>
      </c>
    </row>
    <row r="81" spans="1:13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 t="s">
        <v>350</v>
      </c>
      <c r="K81" s="7" t="s">
        <v>351</v>
      </c>
      <c r="L81" s="7" t="str">
        <f t="shared" si="1"/>
        <v>Chris Lee</v>
      </c>
      <c r="M81" s="7" t="s">
        <v>350</v>
      </c>
    </row>
    <row r="82" spans="1:13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 t="s">
        <v>340</v>
      </c>
      <c r="K82" s="7" t="s">
        <v>341</v>
      </c>
      <c r="L82" s="7" t="str">
        <f t="shared" si="1"/>
        <v>Eve Adams</v>
      </c>
      <c r="M82" s="7" t="s">
        <v>340</v>
      </c>
    </row>
    <row r="83" spans="1:13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 t="s">
        <v>346</v>
      </c>
      <c r="K83" s="7" t="s">
        <v>347</v>
      </c>
      <c r="L83" s="7" t="str">
        <f t="shared" si="1"/>
        <v>Jane Smith</v>
      </c>
      <c r="M83" s="7" t="s">
        <v>346</v>
      </c>
    </row>
    <row r="84" spans="1:13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 t="s">
        <v>340</v>
      </c>
      <c r="K84" s="7" t="s">
        <v>341</v>
      </c>
      <c r="L84" s="7" t="str">
        <f t="shared" si="1"/>
        <v>Eve Adams</v>
      </c>
      <c r="M84" s="7" t="s">
        <v>340</v>
      </c>
    </row>
    <row r="85" spans="1:13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 t="s">
        <v>348</v>
      </c>
      <c r="K85" s="7" t="s">
        <v>349</v>
      </c>
      <c r="L85" s="7" t="str">
        <f t="shared" si="1"/>
        <v>Sam Wilson</v>
      </c>
      <c r="M85" s="7" t="s">
        <v>348</v>
      </c>
    </row>
    <row r="86" spans="1:13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 t="s">
        <v>344</v>
      </c>
      <c r="K86" s="7" t="s">
        <v>345</v>
      </c>
      <c r="L86" s="7" t="str">
        <f t="shared" si="1"/>
        <v>John Doe</v>
      </c>
      <c r="M86" s="7" t="s">
        <v>344</v>
      </c>
    </row>
    <row r="87" spans="1:13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 t="s">
        <v>350</v>
      </c>
      <c r="K87" s="7" t="s">
        <v>351</v>
      </c>
      <c r="L87" s="7" t="str">
        <f t="shared" si="1"/>
        <v>Chris Lee</v>
      </c>
      <c r="M87" s="7" t="s">
        <v>350</v>
      </c>
    </row>
    <row r="88" spans="1:13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 t="s">
        <v>350</v>
      </c>
      <c r="K88" s="7" t="s">
        <v>351</v>
      </c>
      <c r="L88" s="7" t="str">
        <f t="shared" si="1"/>
        <v>Chris Lee</v>
      </c>
      <c r="M88" s="7" t="s">
        <v>350</v>
      </c>
    </row>
    <row r="89" spans="1:13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 t="s">
        <v>348</v>
      </c>
      <c r="K89" s="7" t="s">
        <v>349</v>
      </c>
      <c r="L89" s="7" t="str">
        <f t="shared" si="1"/>
        <v>Sam Wilson</v>
      </c>
      <c r="M89" s="7" t="s">
        <v>348</v>
      </c>
    </row>
    <row r="90" spans="1:13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 t="s">
        <v>350</v>
      </c>
      <c r="K90" s="7" t="s">
        <v>351</v>
      </c>
      <c r="L90" s="7" t="str">
        <f t="shared" si="1"/>
        <v>Chris Lee</v>
      </c>
      <c r="M90" s="7" t="s">
        <v>350</v>
      </c>
    </row>
    <row r="91" spans="1:13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 t="s">
        <v>346</v>
      </c>
      <c r="K91" s="7" t="s">
        <v>347</v>
      </c>
      <c r="L91" s="7" t="str">
        <f t="shared" si="1"/>
        <v>Jane Smith</v>
      </c>
      <c r="M91" s="7" t="s">
        <v>346</v>
      </c>
    </row>
    <row r="92" spans="1:13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 t="s">
        <v>178</v>
      </c>
      <c r="K92" s="7" t="s">
        <v>358</v>
      </c>
      <c r="L92" s="7" t="str">
        <f t="shared" si="1"/>
        <v>Unknown</v>
      </c>
      <c r="M92" s="7" t="s">
        <v>178</v>
      </c>
    </row>
    <row r="93" spans="1:13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 t="s">
        <v>342</v>
      </c>
      <c r="K93" s="7" t="s">
        <v>343</v>
      </c>
      <c r="L93" s="7" t="str">
        <f t="shared" si="1"/>
        <v>Alice Brown</v>
      </c>
      <c r="M93" s="7" t="s">
        <v>342</v>
      </c>
    </row>
    <row r="94" spans="1:13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 t="s">
        <v>346</v>
      </c>
      <c r="K94" s="7" t="s">
        <v>347</v>
      </c>
      <c r="L94" s="7" t="str">
        <f t="shared" si="1"/>
        <v>Jane Smith</v>
      </c>
      <c r="M94" s="7" t="s">
        <v>346</v>
      </c>
    </row>
    <row r="95" spans="1:13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 t="s">
        <v>342</v>
      </c>
      <c r="K95" s="7" t="s">
        <v>343</v>
      </c>
      <c r="L95" s="7" t="str">
        <f t="shared" si="1"/>
        <v>Alice Brown</v>
      </c>
      <c r="M95" s="7" t="s">
        <v>342</v>
      </c>
    </row>
    <row r="96" spans="1:13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 t="s">
        <v>352</v>
      </c>
      <c r="K96" s="7" t="s">
        <v>353</v>
      </c>
      <c r="L96" s="7" t="str">
        <f t="shared" si="1"/>
        <v>Bob Johnson</v>
      </c>
      <c r="M96" s="7" t="s">
        <v>352</v>
      </c>
    </row>
    <row r="97" spans="1:13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 t="s">
        <v>342</v>
      </c>
      <c r="K97" s="7" t="s">
        <v>343</v>
      </c>
      <c r="L97" s="7" t="str">
        <f t="shared" si="1"/>
        <v>Alice Brown</v>
      </c>
      <c r="M97" s="7" t="s">
        <v>342</v>
      </c>
    </row>
    <row r="98" spans="1:13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 t="s">
        <v>346</v>
      </c>
      <c r="K98" s="7" t="s">
        <v>347</v>
      </c>
      <c r="L98" s="7" t="str">
        <f t="shared" si="1"/>
        <v>Jane Smith</v>
      </c>
      <c r="M98" s="7" t="s">
        <v>346</v>
      </c>
    </row>
    <row r="99" spans="1:13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 t="s">
        <v>348</v>
      </c>
      <c r="K99" s="7" t="s">
        <v>349</v>
      </c>
      <c r="L99" s="7" t="str">
        <f t="shared" si="1"/>
        <v>Sam Wilson</v>
      </c>
      <c r="M99" s="7" t="s">
        <v>348</v>
      </c>
    </row>
    <row r="100" spans="1:13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 t="s">
        <v>352</v>
      </c>
      <c r="K100" s="7" t="s">
        <v>353</v>
      </c>
      <c r="L100" s="7" t="str">
        <f t="shared" si="1"/>
        <v>Bob Johnson</v>
      </c>
      <c r="M100" s="7" t="s">
        <v>352</v>
      </c>
    </row>
    <row r="101" spans="1:13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 t="s">
        <v>340</v>
      </c>
      <c r="K101" s="7" t="s">
        <v>341</v>
      </c>
      <c r="L101" s="7" t="str">
        <f t="shared" si="1"/>
        <v>Eve Adams</v>
      </c>
      <c r="M101" s="7" t="s">
        <v>340</v>
      </c>
    </row>
    <row r="102" spans="1:13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 t="s">
        <v>352</v>
      </c>
      <c r="K102" s="7" t="s">
        <v>353</v>
      </c>
      <c r="L102" s="7" t="str">
        <f t="shared" si="1"/>
        <v>Bob Johnson</v>
      </c>
      <c r="M102" s="7" t="s">
        <v>352</v>
      </c>
    </row>
    <row r="103" spans="1:13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 t="s">
        <v>352</v>
      </c>
      <c r="K103" s="7" t="s">
        <v>353</v>
      </c>
      <c r="L103" s="7" t="str">
        <f t="shared" si="1"/>
        <v>Bob Johnson</v>
      </c>
      <c r="M103" s="7" t="s">
        <v>352</v>
      </c>
    </row>
    <row r="104" spans="1:13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 t="s">
        <v>342</v>
      </c>
      <c r="K104" s="7" t="s">
        <v>343</v>
      </c>
      <c r="L104" s="7" t="str">
        <f t="shared" si="1"/>
        <v>Alice Brown</v>
      </c>
      <c r="M104" s="7" t="s">
        <v>342</v>
      </c>
    </row>
    <row r="105" spans="1:13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 t="s">
        <v>342</v>
      </c>
      <c r="K105" s="7" t="s">
        <v>343</v>
      </c>
      <c r="L105" s="7" t="str">
        <f t="shared" si="1"/>
        <v>Alice Brown</v>
      </c>
      <c r="M105" s="7" t="s">
        <v>342</v>
      </c>
    </row>
    <row r="106" spans="1:13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 t="s">
        <v>346</v>
      </c>
      <c r="K106" s="7" t="s">
        <v>347</v>
      </c>
      <c r="L106" s="7" t="str">
        <f t="shared" si="1"/>
        <v>Jane Smith</v>
      </c>
      <c r="M106" s="7" t="s">
        <v>346</v>
      </c>
    </row>
    <row r="107" spans="1:13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 t="s">
        <v>178</v>
      </c>
      <c r="K107" s="7" t="s">
        <v>358</v>
      </c>
      <c r="L107" s="7" t="str">
        <f t="shared" si="1"/>
        <v>Unknown</v>
      </c>
      <c r="M107" s="7" t="s">
        <v>178</v>
      </c>
    </row>
    <row r="108" spans="1:13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 t="s">
        <v>340</v>
      </c>
      <c r="K108" s="7" t="s">
        <v>341</v>
      </c>
      <c r="L108" s="7" t="str">
        <f t="shared" si="1"/>
        <v>Eve Adams</v>
      </c>
      <c r="M108" s="7" t="s">
        <v>340</v>
      </c>
    </row>
    <row r="109" spans="1:13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 t="s">
        <v>348</v>
      </c>
      <c r="K109" s="7" t="s">
        <v>349</v>
      </c>
      <c r="L109" s="7" t="str">
        <f t="shared" si="1"/>
        <v>Sam Wilson</v>
      </c>
      <c r="M109" s="7" t="s">
        <v>348</v>
      </c>
    </row>
    <row r="110" spans="1:13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 t="s">
        <v>348</v>
      </c>
      <c r="K110" s="7" t="s">
        <v>349</v>
      </c>
      <c r="L110" s="7" t="str">
        <f t="shared" si="1"/>
        <v>Sam Wilson</v>
      </c>
      <c r="M110" s="7" t="s">
        <v>348</v>
      </c>
    </row>
    <row r="111" spans="1:13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 t="s">
        <v>346</v>
      </c>
      <c r="K111" s="7" t="s">
        <v>347</v>
      </c>
      <c r="L111" s="7" t="str">
        <f t="shared" si="1"/>
        <v>Jane Smith</v>
      </c>
      <c r="M111" s="7" t="s">
        <v>346</v>
      </c>
    </row>
    <row r="112" spans="1:13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 t="s">
        <v>350</v>
      </c>
      <c r="K112" s="7" t="s">
        <v>351</v>
      </c>
      <c r="L112" s="7" t="str">
        <f t="shared" si="1"/>
        <v>Chris Lee</v>
      </c>
      <c r="M112" s="7" t="s">
        <v>350</v>
      </c>
    </row>
    <row r="113" spans="1:13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 t="s">
        <v>350</v>
      </c>
      <c r="K113" s="7" t="s">
        <v>351</v>
      </c>
      <c r="L113" s="7" t="str">
        <f t="shared" si="1"/>
        <v>Chris Lee</v>
      </c>
      <c r="M113" s="7" t="s">
        <v>350</v>
      </c>
    </row>
    <row r="114" spans="1:13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 t="s">
        <v>340</v>
      </c>
      <c r="K114" s="7" t="s">
        <v>341</v>
      </c>
      <c r="L114" s="7" t="str">
        <f t="shared" si="1"/>
        <v>Eve Adams</v>
      </c>
      <c r="M114" s="7" t="s">
        <v>340</v>
      </c>
    </row>
    <row r="115" spans="1:13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 t="s">
        <v>342</v>
      </c>
      <c r="K115" s="7" t="s">
        <v>343</v>
      </c>
      <c r="L115" s="7" t="str">
        <f t="shared" si="1"/>
        <v>Alice Brown</v>
      </c>
      <c r="M115" s="7" t="s">
        <v>342</v>
      </c>
    </row>
    <row r="116" spans="1:13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 t="s">
        <v>340</v>
      </c>
      <c r="K116" s="7" t="s">
        <v>341</v>
      </c>
      <c r="L116" s="7" t="str">
        <f t="shared" si="1"/>
        <v>Eve Adams</v>
      </c>
      <c r="M116" s="7" t="s">
        <v>340</v>
      </c>
    </row>
    <row r="117" spans="1:13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 t="s">
        <v>352</v>
      </c>
      <c r="K117" s="7" t="s">
        <v>353</v>
      </c>
      <c r="L117" s="7" t="str">
        <f t="shared" si="1"/>
        <v>Bob Johnson</v>
      </c>
      <c r="M117" s="7" t="s">
        <v>352</v>
      </c>
    </row>
    <row r="118" spans="1:13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 t="s">
        <v>352</v>
      </c>
      <c r="K118" s="7" t="s">
        <v>353</v>
      </c>
      <c r="L118" s="7" t="str">
        <f t="shared" si="1"/>
        <v>Bob Johnson</v>
      </c>
      <c r="M118" s="7" t="s">
        <v>352</v>
      </c>
    </row>
    <row r="119" spans="1:13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 t="s">
        <v>352</v>
      </c>
      <c r="K119" s="7" t="s">
        <v>353</v>
      </c>
      <c r="L119" s="7" t="str">
        <f t="shared" si="1"/>
        <v>Bob Johnson</v>
      </c>
      <c r="M119" s="7" t="s">
        <v>352</v>
      </c>
    </row>
    <row r="120" spans="1:13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 t="s">
        <v>350</v>
      </c>
      <c r="K120" s="7" t="s">
        <v>351</v>
      </c>
      <c r="L120" s="7" t="str">
        <f t="shared" si="1"/>
        <v>Chris Lee</v>
      </c>
      <c r="M120" s="7" t="s">
        <v>350</v>
      </c>
    </row>
    <row r="121" spans="1:13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 t="s">
        <v>340</v>
      </c>
      <c r="K121" s="7" t="s">
        <v>341</v>
      </c>
      <c r="L121" s="7" t="str">
        <f t="shared" si="1"/>
        <v>Eve Adams</v>
      </c>
      <c r="M121" s="7" t="s">
        <v>340</v>
      </c>
    </row>
    <row r="122" spans="1:13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 t="s">
        <v>178</v>
      </c>
      <c r="K122" s="7" t="s">
        <v>358</v>
      </c>
      <c r="L122" s="7" t="str">
        <f t="shared" si="1"/>
        <v>Unknown</v>
      </c>
      <c r="M122" s="7" t="s">
        <v>178</v>
      </c>
    </row>
    <row r="123" spans="1:13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 t="s">
        <v>350</v>
      </c>
      <c r="K123" s="7" t="s">
        <v>351</v>
      </c>
      <c r="L123" s="7" t="str">
        <f t="shared" si="1"/>
        <v>Chris Lee</v>
      </c>
      <c r="M123" s="7" t="s">
        <v>350</v>
      </c>
    </row>
    <row r="124" spans="1:13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 t="s">
        <v>352</v>
      </c>
      <c r="K124" s="7" t="s">
        <v>353</v>
      </c>
      <c r="L124" s="7" t="str">
        <f t="shared" si="1"/>
        <v>Bob Johnson</v>
      </c>
      <c r="M124" s="7" t="s">
        <v>352</v>
      </c>
    </row>
    <row r="125" spans="1:13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 t="s">
        <v>346</v>
      </c>
      <c r="K125" s="7" t="s">
        <v>347</v>
      </c>
      <c r="L125" s="7" t="str">
        <f t="shared" si="1"/>
        <v>Jane Smith</v>
      </c>
      <c r="M125" s="7" t="s">
        <v>346</v>
      </c>
    </row>
    <row r="126" spans="1:13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 t="s">
        <v>344</v>
      </c>
      <c r="K126" s="7" t="s">
        <v>345</v>
      </c>
      <c r="L126" s="7" t="str">
        <f t="shared" si="1"/>
        <v>John Doe</v>
      </c>
      <c r="M126" s="7" t="s">
        <v>344</v>
      </c>
    </row>
    <row r="127" spans="1:13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 t="s">
        <v>344</v>
      </c>
      <c r="K127" s="7" t="s">
        <v>345</v>
      </c>
      <c r="L127" s="7" t="str">
        <f t="shared" si="1"/>
        <v>John Doe</v>
      </c>
      <c r="M127" s="7" t="s">
        <v>344</v>
      </c>
    </row>
    <row r="128" spans="1:13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 t="s">
        <v>352</v>
      </c>
      <c r="K128" s="7" t="s">
        <v>353</v>
      </c>
      <c r="L128" s="7" t="str">
        <f t="shared" si="1"/>
        <v>Bob Johnson</v>
      </c>
      <c r="M128" s="7" t="s">
        <v>352</v>
      </c>
    </row>
    <row r="129" spans="1:13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 t="s">
        <v>344</v>
      </c>
      <c r="K129" s="7" t="s">
        <v>345</v>
      </c>
      <c r="L129" s="7" t="str">
        <f t="shared" si="1"/>
        <v>John Doe</v>
      </c>
      <c r="M129" s="7" t="s">
        <v>344</v>
      </c>
    </row>
    <row r="130" spans="1:13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 t="s">
        <v>350</v>
      </c>
      <c r="K130" s="7" t="s">
        <v>351</v>
      </c>
      <c r="L130" s="7" t="str">
        <f t="shared" si="1"/>
        <v>Chris Lee</v>
      </c>
      <c r="M130" s="7" t="s">
        <v>350</v>
      </c>
    </row>
    <row r="131" spans="1:13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 t="s">
        <v>352</v>
      </c>
      <c r="K131" s="7" t="s">
        <v>353</v>
      </c>
      <c r="L131" s="7" t="str">
        <f t="shared" ref="L131:L151" si="2">TRIM(B131)</f>
        <v>Bob Johnson</v>
      </c>
      <c r="M131" s="7" t="s">
        <v>352</v>
      </c>
    </row>
    <row r="132" spans="1:13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 t="s">
        <v>342</v>
      </c>
      <c r="K132" s="7" t="s">
        <v>343</v>
      </c>
      <c r="L132" s="7" t="str">
        <f t="shared" si="2"/>
        <v>Alice Brown</v>
      </c>
      <c r="M132" s="7" t="s">
        <v>342</v>
      </c>
    </row>
    <row r="133" spans="1:13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 t="s">
        <v>348</v>
      </c>
      <c r="K133" s="7" t="s">
        <v>349</v>
      </c>
      <c r="L133" s="7" t="str">
        <f t="shared" si="2"/>
        <v>Sam Wilson</v>
      </c>
      <c r="M133" s="7" t="s">
        <v>348</v>
      </c>
    </row>
    <row r="134" spans="1:13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 t="s">
        <v>340</v>
      </c>
      <c r="K134" s="7" t="s">
        <v>341</v>
      </c>
      <c r="L134" s="7" t="str">
        <f t="shared" si="2"/>
        <v>Eve Adams</v>
      </c>
      <c r="M134" s="7" t="s">
        <v>340</v>
      </c>
    </row>
    <row r="135" spans="1:13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 t="s">
        <v>350</v>
      </c>
      <c r="K135" s="7" t="s">
        <v>351</v>
      </c>
      <c r="L135" s="7" t="str">
        <f t="shared" si="2"/>
        <v>Chris Lee</v>
      </c>
      <c r="M135" s="7" t="s">
        <v>350</v>
      </c>
    </row>
    <row r="136" spans="1:13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 t="s">
        <v>340</v>
      </c>
      <c r="K136" s="7" t="s">
        <v>341</v>
      </c>
      <c r="L136" s="7" t="str">
        <f t="shared" si="2"/>
        <v>Eve Adams</v>
      </c>
      <c r="M136" s="7" t="s">
        <v>340</v>
      </c>
    </row>
    <row r="137" spans="1:13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 t="s">
        <v>178</v>
      </c>
      <c r="K137" s="7" t="s">
        <v>358</v>
      </c>
      <c r="L137" s="7" t="str">
        <f t="shared" si="2"/>
        <v>Unknown</v>
      </c>
      <c r="M137" s="7" t="s">
        <v>178</v>
      </c>
    </row>
    <row r="138" spans="1:13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 t="s">
        <v>346</v>
      </c>
      <c r="K138" s="7" t="s">
        <v>347</v>
      </c>
      <c r="L138" s="7" t="str">
        <f t="shared" si="2"/>
        <v>Jane Smith</v>
      </c>
      <c r="M138" s="7" t="s">
        <v>346</v>
      </c>
    </row>
    <row r="139" spans="1:13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 t="s">
        <v>350</v>
      </c>
      <c r="K139" s="7" t="s">
        <v>351</v>
      </c>
      <c r="L139" s="7" t="str">
        <f t="shared" si="2"/>
        <v>Chris Lee</v>
      </c>
      <c r="M139" s="7" t="s">
        <v>350</v>
      </c>
    </row>
    <row r="140" spans="1:13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 t="s">
        <v>350</v>
      </c>
      <c r="K140" s="7" t="s">
        <v>351</v>
      </c>
      <c r="L140" s="7" t="str">
        <f t="shared" si="2"/>
        <v>Chris Lee</v>
      </c>
      <c r="M140" s="7" t="s">
        <v>350</v>
      </c>
    </row>
    <row r="141" spans="1:13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 t="s">
        <v>352</v>
      </c>
      <c r="K141" s="7" t="s">
        <v>353</v>
      </c>
      <c r="L141" s="7" t="str">
        <f t="shared" si="2"/>
        <v>Bob Johnson</v>
      </c>
      <c r="M141" s="7" t="s">
        <v>352</v>
      </c>
    </row>
    <row r="142" spans="1:13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 t="s">
        <v>350</v>
      </c>
      <c r="K142" s="7" t="s">
        <v>351</v>
      </c>
      <c r="L142" s="7" t="str">
        <f t="shared" si="2"/>
        <v>Chris Lee</v>
      </c>
      <c r="M142" s="7" t="s">
        <v>350</v>
      </c>
    </row>
    <row r="143" spans="1:13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 t="s">
        <v>346</v>
      </c>
      <c r="K143" s="7" t="s">
        <v>347</v>
      </c>
      <c r="L143" s="7" t="str">
        <f t="shared" si="2"/>
        <v>Jane Smith</v>
      </c>
      <c r="M143" s="7" t="s">
        <v>346</v>
      </c>
    </row>
    <row r="144" spans="1:13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 t="s">
        <v>342</v>
      </c>
      <c r="K144" s="7" t="s">
        <v>343</v>
      </c>
      <c r="L144" s="7" t="str">
        <f t="shared" si="2"/>
        <v>Alice Brown</v>
      </c>
      <c r="M144" s="7" t="s">
        <v>342</v>
      </c>
    </row>
    <row r="145" spans="1:13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 t="s">
        <v>350</v>
      </c>
      <c r="K145" s="7" t="s">
        <v>351</v>
      </c>
      <c r="L145" s="7" t="str">
        <f t="shared" si="2"/>
        <v>Chris Lee</v>
      </c>
      <c r="M145" s="7" t="s">
        <v>350</v>
      </c>
    </row>
    <row r="146" spans="1:13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 t="s">
        <v>340</v>
      </c>
      <c r="K146" s="7" t="s">
        <v>341</v>
      </c>
      <c r="L146" s="7" t="str">
        <f t="shared" si="2"/>
        <v>Eve Adams</v>
      </c>
      <c r="M146" s="7" t="s">
        <v>340</v>
      </c>
    </row>
    <row r="147" spans="1:13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 t="s">
        <v>348</v>
      </c>
      <c r="K147" s="7" t="s">
        <v>349</v>
      </c>
      <c r="L147" s="7" t="str">
        <f t="shared" si="2"/>
        <v>Sam Wilson</v>
      </c>
      <c r="M147" s="7" t="s">
        <v>348</v>
      </c>
    </row>
    <row r="148" spans="1:13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 t="s">
        <v>344</v>
      </c>
      <c r="K148" s="7" t="s">
        <v>345</v>
      </c>
      <c r="L148" s="7" t="str">
        <f t="shared" si="2"/>
        <v>John Doe</v>
      </c>
      <c r="M148" s="7" t="s">
        <v>344</v>
      </c>
    </row>
    <row r="149" spans="1:13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 t="s">
        <v>352</v>
      </c>
      <c r="K149" s="7" t="s">
        <v>353</v>
      </c>
      <c r="L149" s="7" t="str">
        <f t="shared" si="2"/>
        <v>Bob Johnson</v>
      </c>
      <c r="M149" s="7" t="s">
        <v>352</v>
      </c>
    </row>
    <row r="150" spans="1:13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 t="s">
        <v>352</v>
      </c>
      <c r="K150" s="7" t="s">
        <v>353</v>
      </c>
      <c r="L150" s="7" t="str">
        <f t="shared" si="2"/>
        <v>Bob Johnson</v>
      </c>
      <c r="M150" s="7" t="s">
        <v>352</v>
      </c>
    </row>
    <row r="151" spans="1:13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 t="s">
        <v>348</v>
      </c>
      <c r="K151" s="7" t="s">
        <v>349</v>
      </c>
      <c r="L151" s="7" t="str">
        <f t="shared" si="2"/>
        <v>Sam Wilson</v>
      </c>
      <c r="M151" s="7" t="s">
        <v>348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4E9A-72B4-4D5C-AFAE-D28EF2D27B9C}">
  <sheetPr>
    <tabColor theme="8"/>
  </sheetPr>
  <dimension ref="I6:J11"/>
  <sheetViews>
    <sheetView workbookViewId="0">
      <selection activeCell="N10" sqref="N10"/>
    </sheetView>
  </sheetViews>
  <sheetFormatPr defaultRowHeight="14.4" x14ac:dyDescent="0.3"/>
  <cols>
    <col min="10" max="10" width="71.6640625" customWidth="1"/>
  </cols>
  <sheetData>
    <row r="6" spans="9:10" ht="30" customHeight="1" x14ac:dyDescent="0.3">
      <c r="I6" s="15"/>
      <c r="J6" s="15" t="s">
        <v>359</v>
      </c>
    </row>
    <row r="7" spans="9:10" ht="30" customHeight="1" x14ac:dyDescent="0.3">
      <c r="I7" s="16" t="s">
        <v>282</v>
      </c>
      <c r="J7" s="16" t="s">
        <v>283</v>
      </c>
    </row>
    <row r="8" spans="9:10" ht="30" customHeight="1" x14ac:dyDescent="0.3">
      <c r="I8" s="14">
        <v>1</v>
      </c>
      <c r="J8" s="14" t="s">
        <v>360</v>
      </c>
    </row>
    <row r="9" spans="9:10" ht="30" customHeight="1" x14ac:dyDescent="0.3">
      <c r="I9" s="14">
        <v>2</v>
      </c>
      <c r="J9" s="14" t="s">
        <v>361</v>
      </c>
    </row>
    <row r="10" spans="9:10" ht="30" customHeight="1" x14ac:dyDescent="0.3">
      <c r="I10" s="14">
        <v>3</v>
      </c>
      <c r="J10" s="14" t="s">
        <v>362</v>
      </c>
    </row>
    <row r="11" spans="9:10" ht="30" customHeight="1" x14ac:dyDescent="0.3">
      <c r="I11" s="14">
        <v>4</v>
      </c>
      <c r="J11" s="14" t="s">
        <v>363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7E1F-17BF-409D-9BA3-59F75A22C992}">
  <sheetPr>
    <tabColor rgb="FFFFC000"/>
  </sheetPr>
  <dimension ref="A1:I151"/>
  <sheetViews>
    <sheetView workbookViewId="0">
      <selection activeCell="K6" sqref="K6"/>
    </sheetView>
  </sheetViews>
  <sheetFormatPr defaultRowHeight="14.4" x14ac:dyDescent="0.3"/>
  <cols>
    <col min="1" max="9" width="20.77734375" customWidth="1"/>
  </cols>
  <sheetData>
    <row r="1" spans="1: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</row>
    <row r="3" spans="1:9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</row>
    <row r="5" spans="1:9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</row>
    <row r="9" spans="1:9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</row>
    <row r="11" spans="1:9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</row>
    <row r="12" spans="1:9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</row>
    <row r="16" spans="1:9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</row>
    <row r="19" spans="1:9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</row>
    <row r="21" spans="1:9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</row>
    <row r="24" spans="1:9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</row>
    <row r="25" spans="1:9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</row>
    <row r="28" spans="1:9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</row>
    <row r="32" spans="1:9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</row>
    <row r="33" spans="1:9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</row>
    <row r="36" spans="1:9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</row>
    <row r="37" spans="1:9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</row>
    <row r="38" spans="1:9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</row>
    <row r="39" spans="1:9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</row>
    <row r="40" spans="1:9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</row>
    <row r="41" spans="1:9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</row>
    <row r="42" spans="1:9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</row>
    <row r="43" spans="1:9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</row>
    <row r="44" spans="1:9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</row>
    <row r="46" spans="1:9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</row>
    <row r="47" spans="1:9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</row>
    <row r="50" spans="1:9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</row>
    <row r="53" spans="1:9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</row>
    <row r="54" spans="1:9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</row>
    <row r="55" spans="1:9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</row>
    <row r="60" spans="1:9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</row>
    <row r="62" spans="1:9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</row>
    <row r="63" spans="1:9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</row>
    <row r="64" spans="1:9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</row>
    <row r="71" spans="1:9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</row>
    <row r="72" spans="1:9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</row>
    <row r="73" spans="1:9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</row>
    <row r="74" spans="1:9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</row>
    <row r="75" spans="1:9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</row>
    <row r="77" spans="1:9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</row>
    <row r="81" spans="1:9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</row>
    <row r="83" spans="1:9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</row>
    <row r="85" spans="1:9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</row>
    <row r="86" spans="1:9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</row>
    <row r="91" spans="1:9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</row>
    <row r="97" spans="1:9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</row>
    <row r="98" spans="1:9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</row>
    <row r="99" spans="1:9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</row>
    <row r="101" spans="1:9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</row>
    <row r="104" spans="1:9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</row>
    <row r="105" spans="1:9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</row>
    <row r="107" spans="1:9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</row>
    <row r="108" spans="1:9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</row>
    <row r="109" spans="1:9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</row>
    <row r="111" spans="1:9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</row>
    <row r="113" spans="1:9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</row>
    <row r="115" spans="1:9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</row>
    <row r="117" spans="1:9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</row>
    <row r="120" spans="1:9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</row>
    <row r="121" spans="1:9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</row>
    <row r="122" spans="1:9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</row>
    <row r="123" spans="1:9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</row>
    <row r="124" spans="1:9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</row>
    <row r="128" spans="1:9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</row>
    <row r="131" spans="1:9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</row>
    <row r="132" spans="1:9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</row>
    <row r="133" spans="1:9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</row>
    <row r="136" spans="1:9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</row>
    <row r="140" spans="1:9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</row>
    <row r="142" spans="1:9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</row>
    <row r="143" spans="1:9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</row>
    <row r="146" spans="1:9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</row>
    <row r="147" spans="1:9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</row>
    <row r="149" spans="1:9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</row>
    <row r="150" spans="1:9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conditionalFormatting sqref="A1:A1048576">
    <cfRule type="duplicateValues" dxfId="19" priority="3" stopIfTrue="1"/>
  </conditionalFormatting>
  <conditionalFormatting sqref="A2:A151">
    <cfRule type="duplicateValues" dxfId="18" priority="4" stopIfTrue="1"/>
    <cfRule type="duplicateValues" dxfId="17" priority="5" stopIfTrue="1"/>
  </conditionalFormatting>
  <conditionalFormatting sqref="A1:I151">
    <cfRule type="containsText" dxfId="16" priority="6" operator="containsText" text="Unknown">
      <formula>NOT(ISERROR(SEARCH("Unknown",A1)))</formula>
    </cfRule>
    <cfRule type="containsText" dxfId="15" priority="7" operator="containsText" text="Unknown">
      <formula>NOT(ISERROR(SEARCH("Unknown",A1)))</formula>
    </cfRule>
  </conditionalFormatting>
  <conditionalFormatting sqref="E2:E151">
    <cfRule type="expression" dxfId="14" priority="1">
      <formula>AND(ISNUMBER(E2),E2&gt;90000)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ED8D-5290-43E6-9FCD-445209B4990A}">
  <sheetPr>
    <tabColor theme="8"/>
  </sheetPr>
  <dimension ref="I3:J8"/>
  <sheetViews>
    <sheetView workbookViewId="0">
      <selection activeCell="P6" sqref="P6"/>
    </sheetView>
  </sheetViews>
  <sheetFormatPr defaultRowHeight="14.4" x14ac:dyDescent="0.3"/>
  <cols>
    <col min="10" max="10" width="67.33203125" customWidth="1"/>
  </cols>
  <sheetData>
    <row r="3" spans="9:10" ht="34.950000000000003" customHeight="1" x14ac:dyDescent="0.3">
      <c r="I3" s="4"/>
      <c r="J3" s="4" t="s">
        <v>364</v>
      </c>
    </row>
    <row r="4" spans="9:10" ht="34.950000000000003" customHeight="1" x14ac:dyDescent="0.3">
      <c r="I4" s="5" t="s">
        <v>282</v>
      </c>
      <c r="J4" s="5" t="s">
        <v>283</v>
      </c>
    </row>
    <row r="5" spans="9:10" ht="34.950000000000003" customHeight="1" x14ac:dyDescent="0.3">
      <c r="I5" s="6">
        <v>1</v>
      </c>
      <c r="J5" s="6" t="s">
        <v>368</v>
      </c>
    </row>
    <row r="6" spans="9:10" ht="34.950000000000003" customHeight="1" x14ac:dyDescent="0.3">
      <c r="I6" s="6">
        <v>2</v>
      </c>
      <c r="J6" s="6" t="s">
        <v>365</v>
      </c>
    </row>
    <row r="7" spans="9:10" ht="34.950000000000003" customHeight="1" x14ac:dyDescent="0.3">
      <c r="I7" s="6">
        <v>3</v>
      </c>
      <c r="J7" s="6" t="s">
        <v>366</v>
      </c>
    </row>
    <row r="8" spans="9:10" ht="34.950000000000003" customHeight="1" x14ac:dyDescent="0.3">
      <c r="I8" s="6">
        <v>4</v>
      </c>
      <c r="J8" s="6" t="s">
        <v>367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4B39-6707-4398-B936-971075547709}">
  <sheetPr>
    <tabColor rgb="FFFFC000"/>
  </sheetPr>
  <dimension ref="A1:L151"/>
  <sheetViews>
    <sheetView workbookViewId="0">
      <selection activeCell="J6" sqref="J6"/>
    </sheetView>
  </sheetViews>
  <sheetFormatPr defaultRowHeight="14.4" x14ac:dyDescent="0.3"/>
  <cols>
    <col min="1" max="9" width="20.77734375" customWidth="1"/>
    <col min="11" max="11" width="20.77734375" customWidth="1"/>
    <col min="12" max="12" width="27.4414062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9" t="s">
        <v>369</v>
      </c>
      <c r="L1" s="9" t="s">
        <v>382</v>
      </c>
    </row>
    <row r="2" spans="1:12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K2" s="7" cm="1">
        <f t="array" ref="K2:K143">_xlfn._xlws.FILTER(E2:E151,ISNUMBER(E2:E151))</f>
        <v>54255</v>
      </c>
      <c r="L2" s="7" cm="1">
        <f t="array" ref="L2:L126">_xlfn._xlws.FILTER(G2:G151,ISNUMBER(G2:G151))</f>
        <v>2</v>
      </c>
    </row>
    <row r="3" spans="1:12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K3" s="7">
        <v>63184</v>
      </c>
      <c r="L3" s="7">
        <v>1</v>
      </c>
    </row>
    <row r="4" spans="1:12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K4" s="7">
        <v>94406</v>
      </c>
      <c r="L4" s="7">
        <v>2</v>
      </c>
    </row>
    <row r="5" spans="1:12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K5" s="7">
        <v>64120</v>
      </c>
      <c r="L5" s="7">
        <v>1</v>
      </c>
    </row>
    <row r="6" spans="1:12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K6" s="7">
        <v>78421</v>
      </c>
      <c r="L6" s="7">
        <v>1</v>
      </c>
    </row>
    <row r="7" spans="1:12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K7" s="7">
        <v>67721</v>
      </c>
      <c r="L7" s="7">
        <v>2</v>
      </c>
    </row>
    <row r="8" spans="1:12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K8" s="7">
        <v>35364</v>
      </c>
      <c r="L8" s="7">
        <v>2</v>
      </c>
    </row>
    <row r="9" spans="1:12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K9" s="7">
        <v>97881</v>
      </c>
      <c r="L9" s="7">
        <v>1</v>
      </c>
    </row>
    <row r="10" spans="1:12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K10" s="7">
        <v>91846</v>
      </c>
      <c r="L10" s="7">
        <v>5</v>
      </c>
    </row>
    <row r="11" spans="1:12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K11" s="7">
        <v>64247</v>
      </c>
      <c r="L11" s="7">
        <v>5</v>
      </c>
    </row>
    <row r="12" spans="1:12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K12" s="7">
        <v>91180</v>
      </c>
      <c r="L12" s="7">
        <v>4</v>
      </c>
    </row>
    <row r="13" spans="1:12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K13" s="7">
        <v>96418</v>
      </c>
      <c r="L13" s="7">
        <v>2</v>
      </c>
    </row>
    <row r="14" spans="1:12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K14" s="7">
        <v>62158</v>
      </c>
      <c r="L14" s="7">
        <v>3</v>
      </c>
    </row>
    <row r="15" spans="1:12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K15" s="7">
        <v>59894</v>
      </c>
      <c r="L15" s="7">
        <v>1</v>
      </c>
    </row>
    <row r="16" spans="1:12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K16" s="7">
        <v>92443</v>
      </c>
      <c r="L16" s="7">
        <v>5</v>
      </c>
    </row>
    <row r="17" spans="1:12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K17" s="7">
        <v>90271</v>
      </c>
      <c r="L17" s="7">
        <v>2</v>
      </c>
    </row>
    <row r="18" spans="1:12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K18" s="7">
        <v>41341</v>
      </c>
      <c r="L18" s="7">
        <v>4</v>
      </c>
    </row>
    <row r="19" spans="1:12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K19" s="7">
        <v>73602</v>
      </c>
      <c r="L19" s="7">
        <v>5</v>
      </c>
    </row>
    <row r="20" spans="1:12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K20" s="7">
        <v>67531</v>
      </c>
      <c r="L20" s="7">
        <v>3</v>
      </c>
    </row>
    <row r="21" spans="1:12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K21" s="7">
        <v>98922</v>
      </c>
      <c r="L21" s="7">
        <v>1</v>
      </c>
    </row>
    <row r="22" spans="1:12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K22" s="7">
        <v>38333</v>
      </c>
      <c r="L22" s="7">
        <v>3</v>
      </c>
    </row>
    <row r="23" spans="1:12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K23" s="7">
        <v>36515</v>
      </c>
      <c r="L23" s="7">
        <v>2</v>
      </c>
    </row>
    <row r="24" spans="1:12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K24" s="7">
        <v>91005</v>
      </c>
      <c r="L24" s="7">
        <v>3</v>
      </c>
    </row>
    <row r="25" spans="1:12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K25" s="7">
        <v>52272</v>
      </c>
      <c r="L25" s="7">
        <v>2</v>
      </c>
    </row>
    <row r="26" spans="1:12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K26" s="7">
        <v>76518</v>
      </c>
      <c r="L26" s="7">
        <v>5</v>
      </c>
    </row>
    <row r="27" spans="1:12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K27" s="7">
        <v>41448</v>
      </c>
      <c r="L27" s="7">
        <v>1</v>
      </c>
    </row>
    <row r="28" spans="1:12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K28" s="7">
        <v>49282</v>
      </c>
      <c r="L28" s="7">
        <v>3</v>
      </c>
    </row>
    <row r="29" spans="1:12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K29" s="7">
        <v>92959</v>
      </c>
      <c r="L29" s="7">
        <v>3</v>
      </c>
    </row>
    <row r="30" spans="1:12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K30" s="7">
        <v>92259</v>
      </c>
      <c r="L30" s="7">
        <v>3</v>
      </c>
    </row>
    <row r="31" spans="1:12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K31" s="7">
        <v>92299</v>
      </c>
      <c r="L31" s="7">
        <v>4</v>
      </c>
    </row>
    <row r="32" spans="1:12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K32" s="7">
        <v>95586</v>
      </c>
      <c r="L32" s="7">
        <v>5</v>
      </c>
    </row>
    <row r="33" spans="1:12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K33" s="7">
        <v>95367</v>
      </c>
      <c r="L33" s="7">
        <v>3</v>
      </c>
    </row>
    <row r="34" spans="1:12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K34" s="7">
        <v>79549</v>
      </c>
      <c r="L34" s="7">
        <v>4</v>
      </c>
    </row>
    <row r="35" spans="1:12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K35" s="7">
        <v>54463</v>
      </c>
      <c r="L35" s="7">
        <v>1</v>
      </c>
    </row>
    <row r="36" spans="1:12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K36" s="7">
        <v>89781</v>
      </c>
      <c r="L36" s="7">
        <v>1</v>
      </c>
    </row>
    <row r="37" spans="1:12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K37" s="7">
        <v>64796</v>
      </c>
      <c r="L37" s="7">
        <v>3</v>
      </c>
    </row>
    <row r="38" spans="1:12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K38" s="7">
        <v>52093</v>
      </c>
      <c r="L38" s="7">
        <v>3</v>
      </c>
    </row>
    <row r="39" spans="1:12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K39" s="7">
        <v>48224</v>
      </c>
      <c r="L39" s="7">
        <v>4</v>
      </c>
    </row>
    <row r="40" spans="1:12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K40" s="7">
        <v>33956</v>
      </c>
      <c r="L40" s="7">
        <v>2</v>
      </c>
    </row>
    <row r="41" spans="1:12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K41" s="7">
        <v>64913</v>
      </c>
      <c r="L41" s="7">
        <v>5</v>
      </c>
    </row>
    <row r="42" spans="1:12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K42" s="7">
        <v>35326</v>
      </c>
      <c r="L42" s="7">
        <v>2</v>
      </c>
    </row>
    <row r="43" spans="1:12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K43" s="7">
        <v>81610</v>
      </c>
      <c r="L43" s="7">
        <v>5</v>
      </c>
    </row>
    <row r="44" spans="1:12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K44" s="7">
        <v>58962</v>
      </c>
      <c r="L44" s="7">
        <v>1</v>
      </c>
    </row>
    <row r="45" spans="1:12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K45" s="7">
        <v>92701</v>
      </c>
      <c r="L45" s="7">
        <v>3</v>
      </c>
    </row>
    <row r="46" spans="1:12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K46" s="7">
        <v>58245</v>
      </c>
      <c r="L46" s="7">
        <v>5</v>
      </c>
    </row>
    <row r="47" spans="1:12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K47" s="7">
        <v>66513</v>
      </c>
      <c r="L47" s="7">
        <v>5</v>
      </c>
    </row>
    <row r="48" spans="1:12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K48" s="7">
        <v>78720</v>
      </c>
      <c r="L48" s="7">
        <v>1</v>
      </c>
    </row>
    <row r="49" spans="1:12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K49" s="7">
        <v>30686</v>
      </c>
      <c r="L49" s="7">
        <v>3</v>
      </c>
    </row>
    <row r="50" spans="1:12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K50" s="7">
        <v>39423</v>
      </c>
      <c r="L50" s="7">
        <v>5</v>
      </c>
    </row>
    <row r="51" spans="1:12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K51" s="7">
        <v>30280</v>
      </c>
      <c r="L51" s="7">
        <v>1</v>
      </c>
    </row>
    <row r="52" spans="1:12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K52" s="7">
        <v>33352</v>
      </c>
      <c r="L52" s="7">
        <v>5</v>
      </c>
    </row>
    <row r="53" spans="1:12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K53" s="7">
        <v>75633</v>
      </c>
      <c r="L53" s="7">
        <v>2</v>
      </c>
    </row>
    <row r="54" spans="1:12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K54" s="7">
        <v>74815</v>
      </c>
      <c r="L54" s="7">
        <v>5</v>
      </c>
    </row>
    <row r="55" spans="1:12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K55" s="7">
        <v>60011</v>
      </c>
      <c r="L55" s="7">
        <v>2</v>
      </c>
    </row>
    <row r="56" spans="1:12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K56" s="7">
        <v>96949</v>
      </c>
      <c r="L56" s="7">
        <v>1</v>
      </c>
    </row>
    <row r="57" spans="1:12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K57" s="7">
        <v>84924</v>
      </c>
      <c r="L57" s="7">
        <v>4</v>
      </c>
    </row>
    <row r="58" spans="1:12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K58" s="7">
        <v>82033</v>
      </c>
      <c r="L58" s="7">
        <v>3</v>
      </c>
    </row>
    <row r="59" spans="1:12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K59" s="7">
        <v>31499</v>
      </c>
      <c r="L59" s="7">
        <v>3</v>
      </c>
    </row>
    <row r="60" spans="1:12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K60" s="7">
        <v>97981</v>
      </c>
      <c r="L60" s="7">
        <v>2</v>
      </c>
    </row>
    <row r="61" spans="1:12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K61" s="7">
        <v>36541</v>
      </c>
      <c r="L61" s="7">
        <v>1</v>
      </c>
    </row>
    <row r="62" spans="1:12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K62" s="7">
        <v>84737</v>
      </c>
      <c r="L62" s="7">
        <v>5</v>
      </c>
    </row>
    <row r="63" spans="1:12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K63" s="7">
        <v>33468</v>
      </c>
      <c r="L63" s="7">
        <v>3</v>
      </c>
    </row>
    <row r="64" spans="1:12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K64" s="7">
        <v>96365</v>
      </c>
      <c r="L64" s="7">
        <v>4</v>
      </c>
    </row>
    <row r="65" spans="1:12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K65" s="7">
        <v>61942</v>
      </c>
      <c r="L65" s="7">
        <v>1</v>
      </c>
    </row>
    <row r="66" spans="1:12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K66" s="7">
        <v>41467</v>
      </c>
      <c r="L66" s="7">
        <v>1</v>
      </c>
    </row>
    <row r="67" spans="1:12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K67" s="7">
        <v>77096</v>
      </c>
      <c r="L67" s="7">
        <v>1</v>
      </c>
    </row>
    <row r="68" spans="1:12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K68" s="7">
        <v>69952</v>
      </c>
      <c r="L68" s="7">
        <v>2</v>
      </c>
    </row>
    <row r="69" spans="1:12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K69" s="7">
        <v>85065</v>
      </c>
      <c r="L69" s="7">
        <v>2</v>
      </c>
    </row>
    <row r="70" spans="1:12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K70" s="7">
        <v>56512</v>
      </c>
      <c r="L70" s="7">
        <v>3</v>
      </c>
    </row>
    <row r="71" spans="1:12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K71" s="7">
        <v>91101</v>
      </c>
      <c r="L71" s="7">
        <v>1</v>
      </c>
    </row>
    <row r="72" spans="1:12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K72" s="7">
        <v>41243</v>
      </c>
      <c r="L72" s="7">
        <v>4</v>
      </c>
    </row>
    <row r="73" spans="1:12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K73" s="7">
        <v>96142</v>
      </c>
      <c r="L73" s="7">
        <v>5</v>
      </c>
    </row>
    <row r="74" spans="1:12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K74" s="7">
        <v>94301</v>
      </c>
      <c r="L74" s="7">
        <v>4</v>
      </c>
    </row>
    <row r="75" spans="1:12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K75" s="7">
        <v>69166</v>
      </c>
      <c r="L75" s="7">
        <v>4</v>
      </c>
    </row>
    <row r="76" spans="1:12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K76" s="7">
        <v>78245</v>
      </c>
      <c r="L76" s="7">
        <v>3</v>
      </c>
    </row>
    <row r="77" spans="1:12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K77" s="7">
        <v>66079</v>
      </c>
      <c r="L77" s="7">
        <v>3</v>
      </c>
    </row>
    <row r="78" spans="1:12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K78" s="7">
        <v>95621</v>
      </c>
      <c r="L78" s="7">
        <v>3</v>
      </c>
    </row>
    <row r="79" spans="1:12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K79" s="7">
        <v>42262</v>
      </c>
      <c r="L79" s="7">
        <v>1</v>
      </c>
    </row>
    <row r="80" spans="1:12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K80" s="7">
        <v>99621</v>
      </c>
      <c r="L80" s="7">
        <v>5</v>
      </c>
    </row>
    <row r="81" spans="1:12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K81" s="7">
        <v>44682</v>
      </c>
      <c r="L81" s="7">
        <v>4</v>
      </c>
    </row>
    <row r="82" spans="1:12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K82" s="7">
        <v>35163</v>
      </c>
      <c r="L82" s="7">
        <v>3</v>
      </c>
    </row>
    <row r="83" spans="1:12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K83" s="7">
        <v>33483</v>
      </c>
      <c r="L83" s="7">
        <v>1</v>
      </c>
    </row>
    <row r="84" spans="1:12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K84" s="7">
        <v>55303</v>
      </c>
      <c r="L84" s="7">
        <v>4</v>
      </c>
    </row>
    <row r="85" spans="1:12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K85" s="7">
        <v>63434</v>
      </c>
      <c r="L85" s="7">
        <v>2</v>
      </c>
    </row>
    <row r="86" spans="1:12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K86" s="7">
        <v>38830</v>
      </c>
      <c r="L86" s="7">
        <v>5</v>
      </c>
    </row>
    <row r="87" spans="1:12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K87" s="7">
        <v>50741</v>
      </c>
      <c r="L87" s="7">
        <v>1</v>
      </c>
    </row>
    <row r="88" spans="1:12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K88" s="7">
        <v>69420</v>
      </c>
      <c r="L88" s="7">
        <v>3</v>
      </c>
    </row>
    <row r="89" spans="1:12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K89" s="7">
        <v>80588</v>
      </c>
      <c r="L89" s="7">
        <v>2</v>
      </c>
    </row>
    <row r="90" spans="1:12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K90" s="7">
        <v>76238</v>
      </c>
      <c r="L90" s="7">
        <v>1</v>
      </c>
    </row>
    <row r="91" spans="1:12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K91" s="7">
        <v>33264</v>
      </c>
      <c r="L91" s="7">
        <v>1</v>
      </c>
    </row>
    <row r="92" spans="1:12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K92" s="7">
        <v>96101</v>
      </c>
      <c r="L92" s="7">
        <v>2</v>
      </c>
    </row>
    <row r="93" spans="1:12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K93" s="7">
        <v>72939</v>
      </c>
      <c r="L93" s="7">
        <v>5</v>
      </c>
    </row>
    <row r="94" spans="1:12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K94" s="7">
        <v>89333</v>
      </c>
      <c r="L94" s="7">
        <v>1</v>
      </c>
    </row>
    <row r="95" spans="1:12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K95" s="7">
        <v>70470</v>
      </c>
      <c r="L95" s="7">
        <v>4</v>
      </c>
    </row>
    <row r="96" spans="1:12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K96" s="7">
        <v>70096</v>
      </c>
      <c r="L96" s="7">
        <v>4</v>
      </c>
    </row>
    <row r="97" spans="1:12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K97" s="7">
        <v>66503</v>
      </c>
      <c r="L97" s="7">
        <v>5</v>
      </c>
    </row>
    <row r="98" spans="1:12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K98" s="7">
        <v>42096</v>
      </c>
      <c r="L98" s="7">
        <v>1</v>
      </c>
    </row>
    <row r="99" spans="1:12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K99" s="7">
        <v>79145</v>
      </c>
      <c r="L99" s="7">
        <v>3</v>
      </c>
    </row>
    <row r="100" spans="1:12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K100" s="7">
        <v>61556</v>
      </c>
      <c r="L100" s="7">
        <v>5</v>
      </c>
    </row>
    <row r="101" spans="1:12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K101" s="7">
        <v>87963</v>
      </c>
      <c r="L101" s="7">
        <v>2</v>
      </c>
    </row>
    <row r="102" spans="1:12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K102" s="7">
        <v>48325</v>
      </c>
      <c r="L102" s="7">
        <v>3</v>
      </c>
    </row>
    <row r="103" spans="1:12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K103" s="7">
        <v>86412</v>
      </c>
      <c r="L103" s="7">
        <v>5</v>
      </c>
    </row>
    <row r="104" spans="1:12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K104" s="7">
        <v>66761</v>
      </c>
      <c r="L104" s="7">
        <v>1</v>
      </c>
    </row>
    <row r="105" spans="1:12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K105" s="7">
        <v>88850</v>
      </c>
      <c r="L105" s="7">
        <v>5</v>
      </c>
    </row>
    <row r="106" spans="1:12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K106" s="7">
        <v>31293</v>
      </c>
      <c r="L106" s="7">
        <v>3</v>
      </c>
    </row>
    <row r="107" spans="1:12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K107" s="7">
        <v>34306</v>
      </c>
      <c r="L107" s="7">
        <v>2</v>
      </c>
    </row>
    <row r="108" spans="1:12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K108" s="7">
        <v>78330</v>
      </c>
      <c r="L108" s="7">
        <v>1</v>
      </c>
    </row>
    <row r="109" spans="1:12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K109" s="7">
        <v>47653</v>
      </c>
      <c r="L109" s="7">
        <v>3</v>
      </c>
    </row>
    <row r="110" spans="1:12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K110" s="7">
        <v>44627</v>
      </c>
      <c r="L110" s="7">
        <v>3</v>
      </c>
    </row>
    <row r="111" spans="1:12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K111" s="7">
        <v>92343</v>
      </c>
      <c r="L111" s="7">
        <v>3</v>
      </c>
    </row>
    <row r="112" spans="1:12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K112" s="7">
        <v>38837</v>
      </c>
      <c r="L112" s="7">
        <v>3</v>
      </c>
    </row>
    <row r="113" spans="1:12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K113" s="7">
        <v>73483</v>
      </c>
      <c r="L113" s="7">
        <v>1</v>
      </c>
    </row>
    <row r="114" spans="1:12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K114" s="7">
        <v>95032</v>
      </c>
      <c r="L114" s="7">
        <v>3</v>
      </c>
    </row>
    <row r="115" spans="1:12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K115" s="7">
        <v>44358</v>
      </c>
      <c r="L115" s="7">
        <v>4</v>
      </c>
    </row>
    <row r="116" spans="1:12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K116" s="7">
        <v>45676</v>
      </c>
      <c r="L116" s="7">
        <v>4</v>
      </c>
    </row>
    <row r="117" spans="1:12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K117" s="7">
        <v>52036</v>
      </c>
      <c r="L117" s="7">
        <v>2</v>
      </c>
    </row>
    <row r="118" spans="1:12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K118" s="7">
        <v>30357</v>
      </c>
      <c r="L118" s="7">
        <v>4</v>
      </c>
    </row>
    <row r="119" spans="1:12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K119" s="7">
        <v>60034</v>
      </c>
      <c r="L119" s="7">
        <v>5</v>
      </c>
    </row>
    <row r="120" spans="1:12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K120" s="7">
        <v>90019</v>
      </c>
      <c r="L120" s="7">
        <v>3</v>
      </c>
    </row>
    <row r="121" spans="1:12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K121" s="7">
        <v>71494</v>
      </c>
      <c r="L121" s="7">
        <v>2</v>
      </c>
    </row>
    <row r="122" spans="1:12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K122" s="7">
        <v>91953</v>
      </c>
      <c r="L122" s="7">
        <v>5</v>
      </c>
    </row>
    <row r="123" spans="1:12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K123" s="7">
        <v>30402</v>
      </c>
      <c r="L123" s="7">
        <v>2</v>
      </c>
    </row>
    <row r="124" spans="1:12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K124" s="7">
        <v>62994</v>
      </c>
      <c r="L124" s="7">
        <v>1</v>
      </c>
    </row>
    <row r="125" spans="1:12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K125" s="7">
        <v>48289</v>
      </c>
      <c r="L125" s="7">
        <v>1</v>
      </c>
    </row>
    <row r="126" spans="1:12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K126" s="7">
        <v>34402</v>
      </c>
      <c r="L126" s="7">
        <v>5</v>
      </c>
    </row>
    <row r="127" spans="1:12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K127" s="7">
        <v>38678</v>
      </c>
      <c r="L127" s="7"/>
    </row>
    <row r="128" spans="1:12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K128" s="7">
        <v>45758</v>
      </c>
      <c r="L128" s="7"/>
    </row>
    <row r="129" spans="1:12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K129" s="7">
        <v>62476</v>
      </c>
      <c r="L129" s="7"/>
    </row>
    <row r="130" spans="1:12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K130" s="7">
        <v>39280</v>
      </c>
      <c r="L130" s="7"/>
    </row>
    <row r="131" spans="1:12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K131" s="7">
        <v>60335</v>
      </c>
      <c r="L131" s="7"/>
    </row>
    <row r="132" spans="1:12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K132" s="7">
        <v>84968</v>
      </c>
      <c r="L132" s="7"/>
    </row>
    <row r="133" spans="1:12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K133" s="7">
        <v>84750</v>
      </c>
      <c r="L133" s="7"/>
    </row>
    <row r="134" spans="1:12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K134" s="7">
        <v>73348</v>
      </c>
      <c r="L134" s="7"/>
    </row>
    <row r="135" spans="1:12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K135" s="7">
        <v>66882</v>
      </c>
      <c r="L135" s="7"/>
    </row>
    <row r="136" spans="1:12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K136" s="7">
        <v>86775</v>
      </c>
      <c r="L136" s="7"/>
    </row>
    <row r="137" spans="1:12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K137" s="7">
        <v>91620</v>
      </c>
      <c r="L137" s="7"/>
    </row>
    <row r="138" spans="1:12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K138" s="7">
        <v>94148</v>
      </c>
      <c r="L138" s="7"/>
    </row>
    <row r="139" spans="1:12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K139" s="7">
        <v>35627</v>
      </c>
      <c r="L139" s="7"/>
    </row>
    <row r="140" spans="1:12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K140" s="7">
        <v>57141</v>
      </c>
      <c r="L140" s="7"/>
    </row>
    <row r="141" spans="1:12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K141" s="7">
        <v>65270</v>
      </c>
      <c r="L141" s="7"/>
    </row>
    <row r="142" spans="1:12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K142" s="7">
        <v>67335</v>
      </c>
      <c r="L142" s="7"/>
    </row>
    <row r="143" spans="1:12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K143" s="7">
        <v>98475</v>
      </c>
      <c r="L143" s="7"/>
    </row>
    <row r="144" spans="1:12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K144" s="7"/>
      <c r="L144" s="7"/>
    </row>
    <row r="145" spans="1:12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K145" s="7"/>
      <c r="L145" s="7"/>
    </row>
    <row r="146" spans="1:12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K146" s="7"/>
      <c r="L146" s="7"/>
    </row>
    <row r="147" spans="1:12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K147" s="7"/>
      <c r="L147" s="7"/>
    </row>
    <row r="148" spans="1:12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K148" s="7"/>
      <c r="L148" s="7"/>
    </row>
    <row r="149" spans="1:12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K149" s="7"/>
      <c r="L149" s="7"/>
    </row>
    <row r="150" spans="1:12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K150" s="7"/>
      <c r="L150" s="7"/>
    </row>
    <row r="151" spans="1:12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K151" s="7"/>
      <c r="L151" s="7"/>
    </row>
  </sheetData>
  <conditionalFormatting sqref="A1 A152:A1048576">
    <cfRule type="duplicateValues" dxfId="13" priority="4" stopIfTrue="1"/>
  </conditionalFormatting>
  <conditionalFormatting sqref="A1:I1">
    <cfRule type="containsText" dxfId="12" priority="7" operator="containsText" text="Unknown">
      <formula>NOT(ISERROR(SEARCH("Unknown",A1)))</formula>
    </cfRule>
    <cfRule type="containsText" dxfId="11" priority="8" operator="containsText" text="Unknown">
      <formula>NOT(ISERROR(SEARCH("Unknown",A1)))</formula>
    </cfRule>
  </conditionalFormatting>
  <conditionalFormatting sqref="K1:L1">
    <cfRule type="containsText" dxfId="10" priority="1" operator="containsText" text="Unknown">
      <formula>NOT(ISERROR(SEARCH("Unknown",K1)))</formula>
    </cfRule>
    <cfRule type="containsText" dxfId="9" priority="2" operator="containsText" text="Unknown">
      <formula>NOT(ISERROR(SEARCH("Unknown",K1)))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C7C1-5A57-4450-8B3C-C97D76EE7FA2}">
  <sheetPr>
    <tabColor theme="3" tint="0.39997558519241921"/>
  </sheetPr>
  <dimension ref="A1:H15"/>
  <sheetViews>
    <sheetView workbookViewId="0">
      <selection activeCell="F10" sqref="F10"/>
    </sheetView>
  </sheetViews>
  <sheetFormatPr defaultRowHeight="14.4" x14ac:dyDescent="0.3"/>
  <cols>
    <col min="1" max="1" width="24.6640625" customWidth="1"/>
    <col min="2" max="2" width="25.6640625" customWidth="1"/>
    <col min="4" max="4" width="35.33203125" customWidth="1"/>
    <col min="5" max="5" width="27" customWidth="1"/>
    <col min="7" max="7" width="36.44140625" customWidth="1"/>
  </cols>
  <sheetData>
    <row r="1" spans="1:8" ht="25.05" customHeight="1" x14ac:dyDescent="0.3">
      <c r="A1" s="45" t="s">
        <v>369</v>
      </c>
      <c r="B1" s="45"/>
      <c r="C1" s="17"/>
      <c r="D1" s="41" t="s">
        <v>382</v>
      </c>
      <c r="E1" s="42"/>
      <c r="G1" s="46"/>
      <c r="H1" s="46"/>
    </row>
    <row r="2" spans="1:8" ht="19.95" customHeight="1" x14ac:dyDescent="0.3">
      <c r="A2" s="18" t="s">
        <v>370</v>
      </c>
      <c r="B2" s="18">
        <v>66280.929577464791</v>
      </c>
      <c r="C2" s="17"/>
      <c r="D2" s="43"/>
      <c r="E2" s="44"/>
      <c r="F2" s="7"/>
    </row>
    <row r="3" spans="1:8" ht="19.95" customHeight="1" x14ac:dyDescent="0.3">
      <c r="A3" s="18" t="s">
        <v>371</v>
      </c>
      <c r="B3" s="18">
        <v>1815.3718349901726</v>
      </c>
      <c r="C3" s="17"/>
      <c r="D3" s="19" t="s">
        <v>370</v>
      </c>
      <c r="E3" s="19">
        <v>2.8719999999999999</v>
      </c>
      <c r="G3" s="7"/>
      <c r="H3" s="7"/>
    </row>
    <row r="4" spans="1:8" ht="19.95" customHeight="1" x14ac:dyDescent="0.3">
      <c r="A4" s="18" t="s">
        <v>372</v>
      </c>
      <c r="B4" s="18">
        <v>66637</v>
      </c>
      <c r="C4" s="17"/>
      <c r="D4" s="19" t="s">
        <v>371</v>
      </c>
      <c r="E4" s="19">
        <v>0.12900412596552496</v>
      </c>
      <c r="G4" s="7"/>
      <c r="H4" s="7"/>
    </row>
    <row r="5" spans="1:8" ht="19.95" customHeight="1" x14ac:dyDescent="0.3">
      <c r="A5" s="18" t="s">
        <v>373</v>
      </c>
      <c r="B5" s="18" t="e">
        <v>#N/A</v>
      </c>
      <c r="C5" s="17"/>
      <c r="D5" s="19" t="s">
        <v>372</v>
      </c>
      <c r="E5" s="19">
        <v>3</v>
      </c>
      <c r="G5" s="7"/>
      <c r="H5" s="7"/>
    </row>
    <row r="6" spans="1:8" ht="19.95" customHeight="1" x14ac:dyDescent="0.3">
      <c r="A6" s="18" t="s">
        <v>374</v>
      </c>
      <c r="B6" s="18">
        <v>21632.652072668603</v>
      </c>
      <c r="C6" s="17"/>
      <c r="D6" s="19" t="s">
        <v>373</v>
      </c>
      <c r="E6" s="19">
        <v>1</v>
      </c>
      <c r="G6" s="7"/>
      <c r="H6" s="7"/>
    </row>
    <row r="7" spans="1:8" ht="19.95" customHeight="1" x14ac:dyDescent="0.3">
      <c r="A7" s="18" t="s">
        <v>375</v>
      </c>
      <c r="B7" s="18">
        <v>467971635.69713318</v>
      </c>
      <c r="C7" s="17"/>
      <c r="D7" s="19" t="s">
        <v>374</v>
      </c>
      <c r="E7" s="19">
        <v>1.4423099751842976</v>
      </c>
      <c r="G7" s="7"/>
      <c r="H7" s="7"/>
    </row>
    <row r="8" spans="1:8" ht="19.95" customHeight="1" x14ac:dyDescent="0.3">
      <c r="A8" s="18" t="s">
        <v>376</v>
      </c>
      <c r="B8" s="18">
        <v>-1.2874357087996995</v>
      </c>
      <c r="C8" s="17"/>
      <c r="D8" s="19" t="s">
        <v>375</v>
      </c>
      <c r="E8" s="19">
        <v>2.080258064516129</v>
      </c>
      <c r="G8" s="7"/>
      <c r="H8" s="7"/>
    </row>
    <row r="9" spans="1:8" ht="19.95" customHeight="1" x14ac:dyDescent="0.3">
      <c r="A9" s="18" t="s">
        <v>377</v>
      </c>
      <c r="B9" s="18">
        <v>-0.11849189667995685</v>
      </c>
      <c r="C9" s="17"/>
      <c r="D9" s="19" t="s">
        <v>376</v>
      </c>
      <c r="E9" s="19">
        <v>-1.2707603536602425</v>
      </c>
      <c r="G9" s="7"/>
      <c r="H9" s="7"/>
    </row>
    <row r="10" spans="1:8" ht="19.95" customHeight="1" x14ac:dyDescent="0.3">
      <c r="A10" s="18" t="s">
        <v>378</v>
      </c>
      <c r="B10" s="18">
        <v>69341</v>
      </c>
      <c r="C10" s="17"/>
      <c r="D10" s="19" t="s">
        <v>377</v>
      </c>
      <c r="E10" s="19">
        <v>0.14563394306425323</v>
      </c>
      <c r="G10" s="7"/>
      <c r="H10" s="7"/>
    </row>
    <row r="11" spans="1:8" ht="19.95" customHeight="1" x14ac:dyDescent="0.3">
      <c r="A11" s="18" t="s">
        <v>379</v>
      </c>
      <c r="B11" s="18">
        <v>30280</v>
      </c>
      <c r="C11" s="17"/>
      <c r="D11" s="19" t="s">
        <v>378</v>
      </c>
      <c r="E11" s="19">
        <v>4</v>
      </c>
      <c r="G11" s="7"/>
      <c r="H11" s="7"/>
    </row>
    <row r="12" spans="1:8" ht="19.95" customHeight="1" x14ac:dyDescent="0.3">
      <c r="A12" s="18" t="s">
        <v>380</v>
      </c>
      <c r="B12" s="18">
        <v>99621</v>
      </c>
      <c r="C12" s="17"/>
      <c r="D12" s="19" t="s">
        <v>379</v>
      </c>
      <c r="E12" s="19">
        <v>1</v>
      </c>
      <c r="G12" s="7"/>
      <c r="H12" s="7"/>
    </row>
    <row r="13" spans="1:8" ht="19.95" customHeight="1" x14ac:dyDescent="0.3">
      <c r="A13" s="18" t="s">
        <v>381</v>
      </c>
      <c r="B13" s="18">
        <v>9411892</v>
      </c>
      <c r="C13" s="17"/>
      <c r="D13" s="19" t="s">
        <v>380</v>
      </c>
      <c r="E13" s="19">
        <v>5</v>
      </c>
      <c r="G13" s="7"/>
      <c r="H13" s="7"/>
    </row>
    <row r="14" spans="1:8" ht="19.95" customHeight="1" x14ac:dyDescent="0.3">
      <c r="A14" s="18" t="s">
        <v>307</v>
      </c>
      <c r="B14" s="18">
        <v>142</v>
      </c>
      <c r="C14" s="17"/>
      <c r="D14" s="19" t="s">
        <v>381</v>
      </c>
      <c r="E14" s="19">
        <v>359</v>
      </c>
      <c r="G14" s="7"/>
      <c r="H14" s="7"/>
    </row>
    <row r="15" spans="1:8" ht="15.6" x14ac:dyDescent="0.3">
      <c r="A15" s="17"/>
      <c r="B15" s="17"/>
      <c r="C15" s="17"/>
      <c r="D15" s="19" t="s">
        <v>307</v>
      </c>
      <c r="E15" s="19">
        <v>125</v>
      </c>
    </row>
  </sheetData>
  <mergeCells count="3">
    <mergeCell ref="D1:E2"/>
    <mergeCell ref="A1:B1"/>
    <mergeCell ref="G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0498-ACD0-4B12-9CC7-312855D5A852}">
  <sheetPr>
    <tabColor theme="8"/>
  </sheetPr>
  <dimension ref="I3:J8"/>
  <sheetViews>
    <sheetView workbookViewId="0">
      <selection activeCell="L5" sqref="L5"/>
    </sheetView>
  </sheetViews>
  <sheetFormatPr defaultRowHeight="14.4" x14ac:dyDescent="0.3"/>
  <cols>
    <col min="10" max="10" width="77.6640625" customWidth="1"/>
  </cols>
  <sheetData>
    <row r="3" spans="9:10" ht="34.950000000000003" customHeight="1" x14ac:dyDescent="0.3">
      <c r="I3" s="20"/>
      <c r="J3" s="20" t="s">
        <v>383</v>
      </c>
    </row>
    <row r="4" spans="9:10" ht="34.950000000000003" customHeight="1" x14ac:dyDescent="0.3">
      <c r="I4" s="21" t="s">
        <v>282</v>
      </c>
      <c r="J4" s="21" t="s">
        <v>283</v>
      </c>
    </row>
    <row r="5" spans="9:10" ht="34.950000000000003" customHeight="1" x14ac:dyDescent="0.3">
      <c r="I5" s="22">
        <v>1</v>
      </c>
      <c r="J5" s="22" t="s">
        <v>384</v>
      </c>
    </row>
    <row r="6" spans="9:10" ht="34.950000000000003" customHeight="1" x14ac:dyDescent="0.3">
      <c r="I6" s="22">
        <v>2</v>
      </c>
      <c r="J6" s="22" t="s">
        <v>385</v>
      </c>
    </row>
    <row r="7" spans="9:10" ht="34.950000000000003" customHeight="1" x14ac:dyDescent="0.3">
      <c r="I7" s="22">
        <v>3</v>
      </c>
      <c r="J7" s="22" t="s">
        <v>386</v>
      </c>
    </row>
    <row r="8" spans="9:10" ht="34.950000000000003" customHeight="1" x14ac:dyDescent="0.3">
      <c r="I8" s="22">
        <v>4</v>
      </c>
      <c r="J8" s="22" t="s">
        <v>387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F6BC-8EDD-4A45-92F2-C6F07EB0622A}">
  <sheetPr filterMode="1">
    <tabColor rgb="FFFFC000"/>
  </sheetPr>
  <dimension ref="A1:I151"/>
  <sheetViews>
    <sheetView workbookViewId="0">
      <selection activeCell="J3" sqref="J3"/>
    </sheetView>
  </sheetViews>
  <sheetFormatPr defaultRowHeight="19.95" customHeight="1" x14ac:dyDescent="0.3"/>
  <cols>
    <col min="1" max="10" width="20.777343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10</v>
      </c>
      <c r="B2" s="7" t="s">
        <v>159</v>
      </c>
      <c r="C2" s="7" t="s">
        <v>167</v>
      </c>
      <c r="D2" s="7" t="s">
        <v>172</v>
      </c>
      <c r="E2" s="7">
        <v>54255</v>
      </c>
      <c r="F2" s="8">
        <v>42015</v>
      </c>
      <c r="G2" s="7">
        <v>1</v>
      </c>
      <c r="H2" s="7" t="s">
        <v>179</v>
      </c>
      <c r="I2" s="7" t="s">
        <v>183</v>
      </c>
    </row>
    <row r="3" spans="1:9" ht="19.95" customHeight="1" x14ac:dyDescent="0.3">
      <c r="A3" s="7" t="s">
        <v>12</v>
      </c>
      <c r="B3" s="7" t="s">
        <v>161</v>
      </c>
      <c r="C3" s="7" t="s">
        <v>168</v>
      </c>
      <c r="D3" s="7" t="s">
        <v>173</v>
      </c>
      <c r="E3" s="7">
        <v>94406</v>
      </c>
      <c r="F3" s="8">
        <v>42029</v>
      </c>
      <c r="G3" s="7">
        <v>1</v>
      </c>
      <c r="H3" s="7" t="s">
        <v>180</v>
      </c>
      <c r="I3" s="7" t="s">
        <v>185</v>
      </c>
    </row>
    <row r="4" spans="1:9" ht="19.95" customHeight="1" x14ac:dyDescent="0.3">
      <c r="A4" s="7" t="s">
        <v>13</v>
      </c>
      <c r="B4" s="7" t="s">
        <v>162</v>
      </c>
      <c r="C4" s="7" t="s">
        <v>168</v>
      </c>
      <c r="D4" s="7" t="s">
        <v>172</v>
      </c>
      <c r="E4" s="7">
        <v>64120</v>
      </c>
      <c r="F4" s="8">
        <v>42036</v>
      </c>
      <c r="G4" s="7">
        <v>1</v>
      </c>
      <c r="H4" s="7" t="s">
        <v>180</v>
      </c>
      <c r="I4" s="7" t="s">
        <v>186</v>
      </c>
    </row>
    <row r="5" spans="1:9" ht="19.95" customHeight="1" x14ac:dyDescent="0.3">
      <c r="A5" s="7" t="s">
        <v>19</v>
      </c>
      <c r="B5" s="7" t="s">
        <v>163</v>
      </c>
      <c r="C5" s="7" t="s">
        <v>166</v>
      </c>
      <c r="D5" s="7" t="s">
        <v>175</v>
      </c>
      <c r="E5" s="7">
        <v>64247</v>
      </c>
      <c r="F5" s="8">
        <v>42078</v>
      </c>
      <c r="G5" s="7">
        <v>1</v>
      </c>
      <c r="H5" s="7" t="s">
        <v>181</v>
      </c>
      <c r="I5" s="7" t="s">
        <v>191</v>
      </c>
    </row>
    <row r="6" spans="1:9" ht="19.95" customHeight="1" x14ac:dyDescent="0.3">
      <c r="A6" s="7" t="s">
        <v>26</v>
      </c>
      <c r="B6" s="7" t="s">
        <v>162</v>
      </c>
      <c r="C6" s="7" t="s">
        <v>166</v>
      </c>
      <c r="D6" s="7" t="s">
        <v>176</v>
      </c>
      <c r="E6" s="7">
        <v>41341</v>
      </c>
      <c r="F6" s="8">
        <v>42127</v>
      </c>
      <c r="G6" s="7">
        <v>1</v>
      </c>
      <c r="H6" s="7" t="s">
        <v>179</v>
      </c>
      <c r="I6" s="7" t="s">
        <v>197</v>
      </c>
    </row>
    <row r="7" spans="1:9" ht="19.95" customHeight="1" x14ac:dyDescent="0.3">
      <c r="A7" s="7" t="s">
        <v>33</v>
      </c>
      <c r="B7" s="7" t="s">
        <v>163</v>
      </c>
      <c r="C7" s="7" t="s">
        <v>166</v>
      </c>
      <c r="D7" s="7" t="s">
        <v>178</v>
      </c>
      <c r="E7" s="7">
        <v>91005</v>
      </c>
      <c r="F7" s="8">
        <v>42176</v>
      </c>
      <c r="G7" s="7">
        <v>1</v>
      </c>
      <c r="H7" s="7" t="s">
        <v>179</v>
      </c>
      <c r="I7" s="7" t="s">
        <v>204</v>
      </c>
    </row>
    <row r="8" spans="1:9" ht="19.95" customHeight="1" x14ac:dyDescent="0.3">
      <c r="A8" s="7" t="s">
        <v>39</v>
      </c>
      <c r="B8" s="7" t="s">
        <v>178</v>
      </c>
      <c r="C8" s="7" t="s">
        <v>170</v>
      </c>
      <c r="D8" s="7" t="s">
        <v>178</v>
      </c>
      <c r="E8" s="7">
        <v>92259</v>
      </c>
      <c r="F8" s="7" t="s">
        <v>178</v>
      </c>
      <c r="G8" s="7">
        <v>1</v>
      </c>
      <c r="H8" s="7" t="s">
        <v>178</v>
      </c>
      <c r="I8" s="7" t="s">
        <v>210</v>
      </c>
    </row>
    <row r="9" spans="1:9" ht="19.95" customHeight="1" x14ac:dyDescent="0.3">
      <c r="A9" s="7" t="s">
        <v>51</v>
      </c>
      <c r="B9" s="7" t="s">
        <v>165</v>
      </c>
      <c r="C9" s="7" t="s">
        <v>178</v>
      </c>
      <c r="D9" s="7" t="s">
        <v>176</v>
      </c>
      <c r="E9" s="7">
        <v>64913</v>
      </c>
      <c r="F9" s="8">
        <v>42302</v>
      </c>
      <c r="G9" s="7">
        <v>1</v>
      </c>
      <c r="H9" s="7" t="s">
        <v>181</v>
      </c>
      <c r="I9" s="7" t="s">
        <v>221</v>
      </c>
    </row>
    <row r="10" spans="1:9" ht="19.95" customHeight="1" x14ac:dyDescent="0.3">
      <c r="A10" s="7" t="s">
        <v>53</v>
      </c>
      <c r="B10" s="7" t="s">
        <v>164</v>
      </c>
      <c r="C10" s="7" t="s">
        <v>166</v>
      </c>
      <c r="D10" s="7" t="s">
        <v>178</v>
      </c>
      <c r="E10" s="7">
        <v>81610</v>
      </c>
      <c r="F10" s="8">
        <v>42316</v>
      </c>
      <c r="G10" s="7">
        <v>1</v>
      </c>
      <c r="H10" s="7" t="s">
        <v>178</v>
      </c>
      <c r="I10" s="7" t="s">
        <v>223</v>
      </c>
    </row>
    <row r="11" spans="1:9" ht="19.95" customHeight="1" x14ac:dyDescent="0.3">
      <c r="A11" s="7" t="s">
        <v>61</v>
      </c>
      <c r="B11" s="7" t="s">
        <v>159</v>
      </c>
      <c r="C11" s="7" t="s">
        <v>170</v>
      </c>
      <c r="D11" s="7" t="s">
        <v>178</v>
      </c>
      <c r="E11" s="7">
        <v>30280</v>
      </c>
      <c r="F11" s="8">
        <v>42372</v>
      </c>
      <c r="G11" s="7">
        <v>1</v>
      </c>
      <c r="H11" s="7" t="s">
        <v>178</v>
      </c>
      <c r="I11" s="7" t="s">
        <v>228</v>
      </c>
    </row>
    <row r="12" spans="1:9" ht="19.95" customHeight="1" x14ac:dyDescent="0.3">
      <c r="A12" s="7" t="s">
        <v>65</v>
      </c>
      <c r="B12" s="7" t="s">
        <v>161</v>
      </c>
      <c r="C12" s="7" t="s">
        <v>168</v>
      </c>
      <c r="D12" s="7" t="s">
        <v>176</v>
      </c>
      <c r="E12" s="7">
        <v>60011</v>
      </c>
      <c r="F12" s="8">
        <v>42400</v>
      </c>
      <c r="G12" s="7">
        <v>1</v>
      </c>
      <c r="H12" s="7" t="s">
        <v>180</v>
      </c>
      <c r="I12" s="7" t="s">
        <v>231</v>
      </c>
    </row>
    <row r="13" spans="1:9" ht="19.95" customHeight="1" x14ac:dyDescent="0.3">
      <c r="A13" s="7" t="s">
        <v>68</v>
      </c>
      <c r="B13" s="7" t="s">
        <v>163</v>
      </c>
      <c r="C13" s="7" t="s">
        <v>166</v>
      </c>
      <c r="D13" s="7" t="s">
        <v>173</v>
      </c>
      <c r="E13" s="7">
        <v>82033</v>
      </c>
      <c r="F13" s="8">
        <v>42421</v>
      </c>
      <c r="G13" s="7">
        <v>1</v>
      </c>
      <c r="H13" s="7" t="s">
        <v>178</v>
      </c>
      <c r="I13" s="7" t="s">
        <v>223</v>
      </c>
    </row>
    <row r="14" spans="1:9" ht="19.95" customHeight="1" x14ac:dyDescent="0.3">
      <c r="A14" s="7" t="s">
        <v>73</v>
      </c>
      <c r="B14" s="7" t="s">
        <v>161</v>
      </c>
      <c r="C14" s="7" t="s">
        <v>169</v>
      </c>
      <c r="D14" s="7" t="s">
        <v>174</v>
      </c>
      <c r="E14" s="7">
        <v>84737</v>
      </c>
      <c r="F14" s="8">
        <v>42456</v>
      </c>
      <c r="G14" s="7">
        <v>1</v>
      </c>
      <c r="H14" s="7" t="s">
        <v>180</v>
      </c>
      <c r="I14" s="7" t="s">
        <v>236</v>
      </c>
    </row>
    <row r="15" spans="1:9" ht="19.95" customHeight="1" x14ac:dyDescent="0.3">
      <c r="A15" s="7" t="s">
        <v>78</v>
      </c>
      <c r="B15" s="7" t="s">
        <v>165</v>
      </c>
      <c r="C15" s="7" t="s">
        <v>166</v>
      </c>
      <c r="D15" s="7" t="s">
        <v>174</v>
      </c>
      <c r="E15" s="7">
        <v>77096</v>
      </c>
      <c r="F15" s="8">
        <v>42491</v>
      </c>
      <c r="G15" s="7">
        <v>1</v>
      </c>
      <c r="H15" s="7" t="s">
        <v>178</v>
      </c>
      <c r="I15" s="7" t="s">
        <v>240</v>
      </c>
    </row>
    <row r="16" spans="1:9" ht="19.95" customHeight="1" x14ac:dyDescent="0.3">
      <c r="A16" s="7" t="s">
        <v>84</v>
      </c>
      <c r="B16" s="7" t="s">
        <v>178</v>
      </c>
      <c r="C16" s="7" t="s">
        <v>168</v>
      </c>
      <c r="D16" s="7" t="s">
        <v>178</v>
      </c>
      <c r="E16" s="7">
        <v>96142</v>
      </c>
      <c r="F16" s="8">
        <v>42533</v>
      </c>
      <c r="G16" s="7">
        <v>1</v>
      </c>
      <c r="H16" s="7" t="s">
        <v>179</v>
      </c>
      <c r="I16" s="7" t="s">
        <v>242</v>
      </c>
    </row>
    <row r="17" spans="1:9" ht="19.95" customHeight="1" x14ac:dyDescent="0.3">
      <c r="A17" s="7" t="s">
        <v>85</v>
      </c>
      <c r="B17" s="7" t="s">
        <v>159</v>
      </c>
      <c r="C17" s="7" t="s">
        <v>169</v>
      </c>
      <c r="D17" s="7" t="s">
        <v>174</v>
      </c>
      <c r="E17" s="7">
        <v>94301</v>
      </c>
      <c r="F17" s="8">
        <v>42540</v>
      </c>
      <c r="G17" s="7">
        <v>1</v>
      </c>
      <c r="H17" s="7" t="s">
        <v>180</v>
      </c>
      <c r="I17" s="7" t="s">
        <v>223</v>
      </c>
    </row>
    <row r="18" spans="1:9" ht="19.95" customHeight="1" x14ac:dyDescent="0.3">
      <c r="A18" s="7" t="s">
        <v>86</v>
      </c>
      <c r="B18" s="7" t="s">
        <v>162</v>
      </c>
      <c r="C18" s="7" t="s">
        <v>178</v>
      </c>
      <c r="D18" s="7" t="s">
        <v>175</v>
      </c>
      <c r="E18" s="7">
        <v>69166</v>
      </c>
      <c r="F18" s="8">
        <v>42547</v>
      </c>
      <c r="G18" s="7">
        <v>1</v>
      </c>
      <c r="H18" s="7" t="s">
        <v>181</v>
      </c>
      <c r="I18" s="7" t="s">
        <v>243</v>
      </c>
    </row>
    <row r="19" spans="1:9" ht="19.95" customHeight="1" x14ac:dyDescent="0.3">
      <c r="A19" s="7" t="s">
        <v>91</v>
      </c>
      <c r="B19" s="7" t="s">
        <v>159</v>
      </c>
      <c r="C19" s="7" t="s">
        <v>169</v>
      </c>
      <c r="D19" s="7" t="s">
        <v>175</v>
      </c>
      <c r="E19" s="7">
        <v>42262</v>
      </c>
      <c r="F19" s="8">
        <v>42582</v>
      </c>
      <c r="G19" s="7">
        <v>1</v>
      </c>
      <c r="H19" s="7" t="s">
        <v>178</v>
      </c>
      <c r="I19" s="7" t="s">
        <v>247</v>
      </c>
    </row>
    <row r="20" spans="1:9" ht="19.95" customHeight="1" x14ac:dyDescent="0.3">
      <c r="A20" s="7" t="s">
        <v>100</v>
      </c>
      <c r="B20" s="7" t="s">
        <v>160</v>
      </c>
      <c r="C20" s="7" t="s">
        <v>167</v>
      </c>
      <c r="D20" s="7" t="s">
        <v>176</v>
      </c>
      <c r="E20" s="7">
        <v>69420</v>
      </c>
      <c r="F20" s="8">
        <v>42645</v>
      </c>
      <c r="G20" s="7">
        <v>1</v>
      </c>
      <c r="H20" s="7" t="s">
        <v>180</v>
      </c>
      <c r="I20" s="7" t="s">
        <v>225</v>
      </c>
    </row>
    <row r="21" spans="1:9" ht="19.95" customHeight="1" x14ac:dyDescent="0.3">
      <c r="A21" s="7" t="s">
        <v>106</v>
      </c>
      <c r="B21" s="7" t="s">
        <v>163</v>
      </c>
      <c r="C21" s="7" t="s">
        <v>167</v>
      </c>
      <c r="D21" s="7" t="s">
        <v>172</v>
      </c>
      <c r="E21" s="7">
        <v>89333</v>
      </c>
      <c r="F21" s="8">
        <v>42687</v>
      </c>
      <c r="G21" s="7">
        <v>1</v>
      </c>
      <c r="H21" s="7" t="s">
        <v>180</v>
      </c>
      <c r="I21" s="7" t="s">
        <v>256</v>
      </c>
    </row>
    <row r="22" spans="1:9" ht="19.95" customHeight="1" x14ac:dyDescent="0.3">
      <c r="A22" s="7" t="s">
        <v>113</v>
      </c>
      <c r="B22" s="7" t="s">
        <v>162</v>
      </c>
      <c r="C22" s="7" t="s">
        <v>178</v>
      </c>
      <c r="D22" s="7" t="s">
        <v>176</v>
      </c>
      <c r="E22" s="7">
        <v>61556</v>
      </c>
      <c r="F22" s="8">
        <v>42736</v>
      </c>
      <c r="G22" s="7">
        <v>1</v>
      </c>
      <c r="H22" s="7" t="s">
        <v>178</v>
      </c>
      <c r="I22" s="7" t="s">
        <v>259</v>
      </c>
    </row>
    <row r="23" spans="1:9" ht="19.95" customHeight="1" x14ac:dyDescent="0.3">
      <c r="A23" s="7" t="s">
        <v>117</v>
      </c>
      <c r="B23" s="7" t="s">
        <v>163</v>
      </c>
      <c r="C23" s="7" t="s">
        <v>167</v>
      </c>
      <c r="D23" s="7" t="s">
        <v>178</v>
      </c>
      <c r="E23" s="7">
        <v>66761</v>
      </c>
      <c r="F23" s="8">
        <v>42764</v>
      </c>
      <c r="G23" s="7">
        <v>1</v>
      </c>
      <c r="H23" s="7" t="s">
        <v>178</v>
      </c>
      <c r="I23" s="7" t="s">
        <v>262</v>
      </c>
    </row>
    <row r="24" spans="1:9" ht="19.95" customHeight="1" x14ac:dyDescent="0.3">
      <c r="A24" s="7" t="s">
        <v>118</v>
      </c>
      <c r="B24" s="7" t="s">
        <v>162</v>
      </c>
      <c r="C24" s="7" t="s">
        <v>178</v>
      </c>
      <c r="D24" s="7" t="s">
        <v>174</v>
      </c>
      <c r="E24" s="7">
        <v>88850</v>
      </c>
      <c r="F24" s="8">
        <v>42771</v>
      </c>
      <c r="G24" s="7">
        <v>1</v>
      </c>
      <c r="H24" s="7" t="s">
        <v>181</v>
      </c>
      <c r="I24" s="7" t="s">
        <v>263</v>
      </c>
    </row>
    <row r="25" spans="1:9" ht="19.95" customHeight="1" x14ac:dyDescent="0.3">
      <c r="A25" s="7" t="s">
        <v>122</v>
      </c>
      <c r="B25" s="7" t="s">
        <v>160</v>
      </c>
      <c r="C25" s="7" t="s">
        <v>169</v>
      </c>
      <c r="D25" s="7" t="s">
        <v>173</v>
      </c>
      <c r="E25" s="7">
        <v>47653</v>
      </c>
      <c r="F25" s="8">
        <v>42799</v>
      </c>
      <c r="G25" s="7">
        <v>1</v>
      </c>
      <c r="H25" s="7" t="s">
        <v>180</v>
      </c>
      <c r="I25" s="7" t="s">
        <v>265</v>
      </c>
    </row>
    <row r="26" spans="1:9" ht="19.95" customHeight="1" x14ac:dyDescent="0.3">
      <c r="A26" s="7" t="s">
        <v>126</v>
      </c>
      <c r="B26" s="7" t="s">
        <v>165</v>
      </c>
      <c r="C26" s="7" t="s">
        <v>170</v>
      </c>
      <c r="D26" s="7" t="s">
        <v>178</v>
      </c>
      <c r="E26" s="7">
        <v>73483</v>
      </c>
      <c r="F26" s="8">
        <v>42827</v>
      </c>
      <c r="G26" s="7">
        <v>1</v>
      </c>
      <c r="H26" s="7" t="s">
        <v>178</v>
      </c>
      <c r="I26" s="7" t="s">
        <v>266</v>
      </c>
    </row>
    <row r="27" spans="1:9" ht="19.95" customHeight="1" x14ac:dyDescent="0.3">
      <c r="A27" s="7" t="s">
        <v>133</v>
      </c>
      <c r="B27" s="7" t="s">
        <v>161</v>
      </c>
      <c r="C27" s="7" t="s">
        <v>169</v>
      </c>
      <c r="D27" s="7" t="s">
        <v>178</v>
      </c>
      <c r="E27" s="7">
        <v>60034</v>
      </c>
      <c r="F27" s="8">
        <v>42876</v>
      </c>
      <c r="G27" s="7">
        <v>1</v>
      </c>
      <c r="H27" s="7" t="s">
        <v>181</v>
      </c>
      <c r="I27" s="7" t="s">
        <v>271</v>
      </c>
    </row>
    <row r="28" spans="1:9" ht="19.95" customHeight="1" x14ac:dyDescent="0.3">
      <c r="A28" s="7" t="s">
        <v>137</v>
      </c>
      <c r="B28" s="7" t="s">
        <v>164</v>
      </c>
      <c r="C28" s="7" t="s">
        <v>168</v>
      </c>
      <c r="D28" s="7" t="s">
        <v>173</v>
      </c>
      <c r="E28" s="7">
        <v>30402</v>
      </c>
      <c r="F28" s="8">
        <v>42904</v>
      </c>
      <c r="G28" s="7">
        <v>1</v>
      </c>
      <c r="H28" s="7" t="s">
        <v>178</v>
      </c>
      <c r="I28" s="7" t="s">
        <v>274</v>
      </c>
    </row>
    <row r="29" spans="1:9" ht="19.95" customHeight="1" x14ac:dyDescent="0.3">
      <c r="A29" s="7" t="s">
        <v>143</v>
      </c>
      <c r="B29" s="7" t="s">
        <v>159</v>
      </c>
      <c r="C29" s="7" t="s">
        <v>170</v>
      </c>
      <c r="D29" s="7" t="s">
        <v>174</v>
      </c>
      <c r="E29" s="7">
        <v>62476</v>
      </c>
      <c r="F29" s="8">
        <v>42946</v>
      </c>
      <c r="G29" s="7">
        <v>1</v>
      </c>
      <c r="H29" s="7" t="s">
        <v>179</v>
      </c>
      <c r="I29" s="7" t="s">
        <v>231</v>
      </c>
    </row>
    <row r="30" spans="1:9" ht="19.95" customHeight="1" x14ac:dyDescent="0.3">
      <c r="A30" s="7" t="s">
        <v>156</v>
      </c>
      <c r="B30" s="7" t="s">
        <v>165</v>
      </c>
      <c r="C30" s="7" t="s">
        <v>168</v>
      </c>
      <c r="D30" s="7" t="s">
        <v>176</v>
      </c>
      <c r="E30" s="7">
        <v>65270</v>
      </c>
      <c r="F30" s="8">
        <v>43037</v>
      </c>
      <c r="G30" s="7">
        <v>1</v>
      </c>
      <c r="H30" s="7" t="s">
        <v>178</v>
      </c>
      <c r="I30" s="7" t="s">
        <v>279</v>
      </c>
    </row>
    <row r="31" spans="1:9" ht="19.95" customHeight="1" x14ac:dyDescent="0.3">
      <c r="A31" s="7" t="s">
        <v>157</v>
      </c>
      <c r="B31" s="7" t="s">
        <v>165</v>
      </c>
      <c r="C31" s="7" t="s">
        <v>178</v>
      </c>
      <c r="D31" s="7" t="s">
        <v>175</v>
      </c>
      <c r="E31" s="7">
        <v>67335</v>
      </c>
      <c r="F31" s="8">
        <v>43044</v>
      </c>
      <c r="G31" s="7">
        <v>1</v>
      </c>
      <c r="H31" s="7" t="s">
        <v>179</v>
      </c>
      <c r="I31" s="7" t="s">
        <v>233</v>
      </c>
    </row>
    <row r="32" spans="1:9" ht="19.95" customHeight="1" x14ac:dyDescent="0.3">
      <c r="A32" s="7" t="s">
        <v>9</v>
      </c>
      <c r="B32" s="7" t="s">
        <v>178</v>
      </c>
      <c r="C32" s="7" t="s">
        <v>166</v>
      </c>
      <c r="D32" s="7" t="s">
        <v>178</v>
      </c>
      <c r="E32" s="7" t="s">
        <v>178</v>
      </c>
      <c r="F32" s="7" t="s">
        <v>178</v>
      </c>
      <c r="G32" s="7">
        <v>2</v>
      </c>
      <c r="H32" s="7" t="s">
        <v>178</v>
      </c>
      <c r="I32" s="7" t="s">
        <v>178</v>
      </c>
    </row>
    <row r="33" spans="1:9" ht="19.95" customHeight="1" x14ac:dyDescent="0.3">
      <c r="A33" s="7" t="s">
        <v>11</v>
      </c>
      <c r="B33" s="7" t="s">
        <v>160</v>
      </c>
      <c r="C33" s="7" t="s">
        <v>166</v>
      </c>
      <c r="D33" s="7" t="s">
        <v>172</v>
      </c>
      <c r="E33" s="7">
        <v>63184</v>
      </c>
      <c r="F33" s="8">
        <v>42022</v>
      </c>
      <c r="G33" s="7">
        <v>2</v>
      </c>
      <c r="H33" s="7" t="s">
        <v>178</v>
      </c>
      <c r="I33" s="7" t="s">
        <v>184</v>
      </c>
    </row>
    <row r="34" spans="1:9" ht="19.95" customHeight="1" x14ac:dyDescent="0.3">
      <c r="A34" s="7" t="s">
        <v>14</v>
      </c>
      <c r="B34" s="7" t="s">
        <v>160</v>
      </c>
      <c r="C34" s="7" t="s">
        <v>169</v>
      </c>
      <c r="D34" s="7" t="s">
        <v>174</v>
      </c>
      <c r="E34" s="7">
        <v>78421</v>
      </c>
      <c r="F34" s="8">
        <v>42043</v>
      </c>
      <c r="G34" s="7">
        <v>2</v>
      </c>
      <c r="H34" s="7" t="s">
        <v>181</v>
      </c>
      <c r="I34" s="7" t="s">
        <v>187</v>
      </c>
    </row>
    <row r="35" spans="1:9" ht="19.95" customHeight="1" x14ac:dyDescent="0.3">
      <c r="A35" s="7" t="s">
        <v>16</v>
      </c>
      <c r="B35" s="7" t="s">
        <v>164</v>
      </c>
      <c r="C35" s="7" t="s">
        <v>170</v>
      </c>
      <c r="D35" s="7" t="s">
        <v>178</v>
      </c>
      <c r="E35" s="7">
        <v>35364</v>
      </c>
      <c r="F35" s="8">
        <v>42057</v>
      </c>
      <c r="G35" s="7">
        <v>2</v>
      </c>
      <c r="H35" s="7" t="s">
        <v>179</v>
      </c>
      <c r="I35" s="7" t="s">
        <v>188</v>
      </c>
    </row>
    <row r="36" spans="1:9" ht="19.95" customHeight="1" x14ac:dyDescent="0.3">
      <c r="A36" s="7" t="s">
        <v>23</v>
      </c>
      <c r="B36" s="7" t="s">
        <v>162</v>
      </c>
      <c r="C36" s="7" t="s">
        <v>167</v>
      </c>
      <c r="D36" s="7" t="s">
        <v>178</v>
      </c>
      <c r="E36" s="7">
        <v>59894</v>
      </c>
      <c r="F36" s="8">
        <v>42106</v>
      </c>
      <c r="G36" s="7">
        <v>2</v>
      </c>
      <c r="H36" s="7" t="s">
        <v>180</v>
      </c>
      <c r="I36" s="7" t="s">
        <v>194</v>
      </c>
    </row>
    <row r="37" spans="1:9" ht="19.95" customHeight="1" x14ac:dyDescent="0.3">
      <c r="A37" s="7" t="s">
        <v>29</v>
      </c>
      <c r="B37" s="7" t="s">
        <v>162</v>
      </c>
      <c r="C37" s="7" t="s">
        <v>167</v>
      </c>
      <c r="D37" s="7" t="s">
        <v>173</v>
      </c>
      <c r="E37" s="7" t="s">
        <v>178</v>
      </c>
      <c r="F37" s="8">
        <v>42148</v>
      </c>
      <c r="G37" s="7">
        <v>2</v>
      </c>
      <c r="H37" s="7" t="s">
        <v>179</v>
      </c>
      <c r="I37" s="7" t="s">
        <v>200</v>
      </c>
    </row>
    <row r="38" spans="1:9" ht="19.95" customHeight="1" x14ac:dyDescent="0.3">
      <c r="A38" s="7" t="s">
        <v>35</v>
      </c>
      <c r="B38" s="7" t="s">
        <v>159</v>
      </c>
      <c r="C38" s="7" t="s">
        <v>168</v>
      </c>
      <c r="D38" s="7" t="s">
        <v>172</v>
      </c>
      <c r="E38" s="7">
        <v>76518</v>
      </c>
      <c r="F38" s="8">
        <v>42190</v>
      </c>
      <c r="G38" s="7">
        <v>2</v>
      </c>
      <c r="H38" s="7" t="s">
        <v>181</v>
      </c>
      <c r="I38" s="7" t="s">
        <v>206</v>
      </c>
    </row>
    <row r="39" spans="1:9" ht="19.95" customHeight="1" x14ac:dyDescent="0.3">
      <c r="A39" s="7" t="s">
        <v>37</v>
      </c>
      <c r="B39" s="7" t="s">
        <v>161</v>
      </c>
      <c r="C39" s="7" t="s">
        <v>167</v>
      </c>
      <c r="D39" s="7" t="s">
        <v>175</v>
      </c>
      <c r="E39" s="7">
        <v>49282</v>
      </c>
      <c r="F39" s="8">
        <v>42204</v>
      </c>
      <c r="G39" s="7">
        <v>2</v>
      </c>
      <c r="H39" s="7" t="s">
        <v>181</v>
      </c>
      <c r="I39" s="7" t="s">
        <v>208</v>
      </c>
    </row>
    <row r="40" spans="1:9" ht="19.95" customHeight="1" x14ac:dyDescent="0.3">
      <c r="A40" s="7" t="s">
        <v>57</v>
      </c>
      <c r="B40" s="7" t="s">
        <v>161</v>
      </c>
      <c r="C40" s="7" t="s">
        <v>166</v>
      </c>
      <c r="D40" s="7" t="s">
        <v>178</v>
      </c>
      <c r="E40" s="7">
        <v>66513</v>
      </c>
      <c r="F40" s="8">
        <v>42344</v>
      </c>
      <c r="G40" s="7">
        <v>2</v>
      </c>
      <c r="H40" s="7" t="s">
        <v>179</v>
      </c>
      <c r="I40" s="7" t="s">
        <v>187</v>
      </c>
    </row>
    <row r="41" spans="1:9" ht="19.95" customHeight="1" x14ac:dyDescent="0.3">
      <c r="A41" s="7" t="s">
        <v>59</v>
      </c>
      <c r="B41" s="7" t="s">
        <v>164</v>
      </c>
      <c r="C41" s="7" t="s">
        <v>178</v>
      </c>
      <c r="D41" s="7" t="s">
        <v>178</v>
      </c>
      <c r="E41" s="7">
        <v>30686</v>
      </c>
      <c r="F41" s="7" t="s">
        <v>178</v>
      </c>
      <c r="G41" s="7">
        <v>2</v>
      </c>
      <c r="H41" s="7" t="s">
        <v>181</v>
      </c>
      <c r="I41" s="7" t="s">
        <v>226</v>
      </c>
    </row>
    <row r="42" spans="1:9" ht="19.95" customHeight="1" x14ac:dyDescent="0.3">
      <c r="A42" s="7" t="s">
        <v>70</v>
      </c>
      <c r="B42" s="7" t="s">
        <v>159</v>
      </c>
      <c r="C42" s="7" t="s">
        <v>178</v>
      </c>
      <c r="D42" s="7" t="s">
        <v>176</v>
      </c>
      <c r="E42" s="7">
        <v>31499</v>
      </c>
      <c r="F42" s="8">
        <v>42435</v>
      </c>
      <c r="G42" s="7">
        <v>2</v>
      </c>
      <c r="H42" s="7" t="s">
        <v>178</v>
      </c>
      <c r="I42" s="7" t="s">
        <v>215</v>
      </c>
    </row>
    <row r="43" spans="1:9" ht="19.95" customHeight="1" x14ac:dyDescent="0.3">
      <c r="A43" s="7" t="s">
        <v>72</v>
      </c>
      <c r="B43" s="7" t="s">
        <v>159</v>
      </c>
      <c r="C43" s="7" t="s">
        <v>167</v>
      </c>
      <c r="D43" s="7" t="s">
        <v>173</v>
      </c>
      <c r="E43" s="7">
        <v>36541</v>
      </c>
      <c r="F43" s="8">
        <v>42449</v>
      </c>
      <c r="G43" s="7">
        <v>2</v>
      </c>
      <c r="H43" s="7" t="s">
        <v>179</v>
      </c>
      <c r="I43" s="7" t="s">
        <v>235</v>
      </c>
    </row>
    <row r="44" spans="1:9" ht="19.95" customHeight="1" x14ac:dyDescent="0.3">
      <c r="A44" s="7" t="s">
        <v>77</v>
      </c>
      <c r="B44" s="7" t="s">
        <v>163</v>
      </c>
      <c r="C44" s="7" t="s">
        <v>166</v>
      </c>
      <c r="D44" s="7" t="s">
        <v>175</v>
      </c>
      <c r="E44" s="7">
        <v>41467</v>
      </c>
      <c r="F44" s="8">
        <v>42484</v>
      </c>
      <c r="G44" s="7">
        <v>2</v>
      </c>
      <c r="H44" s="7" t="s">
        <v>178</v>
      </c>
      <c r="I44" s="7" t="s">
        <v>201</v>
      </c>
    </row>
    <row r="45" spans="1:9" ht="19.95" customHeight="1" x14ac:dyDescent="0.3">
      <c r="A45" s="7" t="s">
        <v>87</v>
      </c>
      <c r="B45" s="7" t="s">
        <v>163</v>
      </c>
      <c r="C45" s="7" t="s">
        <v>178</v>
      </c>
      <c r="D45" s="7" t="s">
        <v>175</v>
      </c>
      <c r="E45" s="7">
        <v>78245</v>
      </c>
      <c r="F45" s="8">
        <v>42554</v>
      </c>
      <c r="G45" s="7">
        <v>2</v>
      </c>
      <c r="H45" s="7" t="s">
        <v>178</v>
      </c>
      <c r="I45" s="7" t="s">
        <v>244</v>
      </c>
    </row>
    <row r="46" spans="1:9" ht="19.95" customHeight="1" x14ac:dyDescent="0.3">
      <c r="A46" s="7" t="s">
        <v>88</v>
      </c>
      <c r="B46" s="7" t="s">
        <v>164</v>
      </c>
      <c r="C46" s="7" t="s">
        <v>168</v>
      </c>
      <c r="D46" s="7" t="s">
        <v>173</v>
      </c>
      <c r="E46" s="7">
        <v>66079</v>
      </c>
      <c r="F46" s="8">
        <v>42561</v>
      </c>
      <c r="G46" s="7">
        <v>2</v>
      </c>
      <c r="H46" s="7" t="s">
        <v>179</v>
      </c>
      <c r="I46" s="7" t="s">
        <v>245</v>
      </c>
    </row>
    <row r="47" spans="1:9" ht="19.95" customHeight="1" x14ac:dyDescent="0.3">
      <c r="A47" s="7" t="s">
        <v>109</v>
      </c>
      <c r="B47" s="7" t="s">
        <v>165</v>
      </c>
      <c r="C47" s="7" t="s">
        <v>170</v>
      </c>
      <c r="D47" s="7" t="s">
        <v>178</v>
      </c>
      <c r="E47" s="7" t="s">
        <v>178</v>
      </c>
      <c r="F47" s="8">
        <v>42708</v>
      </c>
      <c r="G47" s="7">
        <v>2</v>
      </c>
      <c r="H47" s="7" t="s">
        <v>179</v>
      </c>
      <c r="I47" s="7" t="s">
        <v>259</v>
      </c>
    </row>
    <row r="48" spans="1:9" ht="19.95" customHeight="1" x14ac:dyDescent="0.3">
      <c r="A48" s="7" t="s">
        <v>116</v>
      </c>
      <c r="B48" s="7" t="s">
        <v>163</v>
      </c>
      <c r="C48" s="7" t="s">
        <v>170</v>
      </c>
      <c r="D48" s="7" t="s">
        <v>176</v>
      </c>
      <c r="E48" s="7">
        <v>86412</v>
      </c>
      <c r="F48" s="8">
        <v>42757</v>
      </c>
      <c r="G48" s="7">
        <v>2</v>
      </c>
      <c r="H48" s="7" t="s">
        <v>181</v>
      </c>
      <c r="I48" s="7" t="s">
        <v>202</v>
      </c>
    </row>
    <row r="49" spans="1:9" ht="19.95" customHeight="1" x14ac:dyDescent="0.3">
      <c r="A49" s="7" t="s">
        <v>119</v>
      </c>
      <c r="B49" s="7" t="s">
        <v>164</v>
      </c>
      <c r="C49" s="7" t="s">
        <v>168</v>
      </c>
      <c r="D49" s="7" t="s">
        <v>174</v>
      </c>
      <c r="E49" s="7">
        <v>31293</v>
      </c>
      <c r="F49" s="7" t="s">
        <v>178</v>
      </c>
      <c r="G49" s="7">
        <v>2</v>
      </c>
      <c r="H49" s="7" t="s">
        <v>181</v>
      </c>
      <c r="I49" s="7" t="s">
        <v>264</v>
      </c>
    </row>
    <row r="50" spans="1:9" ht="19.95" customHeight="1" x14ac:dyDescent="0.3">
      <c r="A50" s="7" t="s">
        <v>130</v>
      </c>
      <c r="B50" s="7" t="s">
        <v>164</v>
      </c>
      <c r="C50" s="7" t="s">
        <v>168</v>
      </c>
      <c r="D50" s="7" t="s">
        <v>173</v>
      </c>
      <c r="E50" s="7">
        <v>45676</v>
      </c>
      <c r="F50" s="8">
        <v>42855</v>
      </c>
      <c r="G50" s="7">
        <v>2</v>
      </c>
      <c r="H50" s="7" t="s">
        <v>178</v>
      </c>
      <c r="I50" s="7" t="s">
        <v>269</v>
      </c>
    </row>
    <row r="51" spans="1:9" ht="19.95" customHeight="1" x14ac:dyDescent="0.3">
      <c r="A51" s="7" t="s">
        <v>136</v>
      </c>
      <c r="B51" s="7" t="s">
        <v>161</v>
      </c>
      <c r="C51" s="7" t="s">
        <v>166</v>
      </c>
      <c r="D51" s="7" t="s">
        <v>173</v>
      </c>
      <c r="E51" s="7">
        <v>91953</v>
      </c>
      <c r="F51" s="8">
        <v>42897</v>
      </c>
      <c r="G51" s="7">
        <v>2</v>
      </c>
      <c r="H51" s="7" t="s">
        <v>180</v>
      </c>
      <c r="I51" s="7" t="s">
        <v>209</v>
      </c>
    </row>
    <row r="52" spans="1:9" ht="19.95" customHeight="1" x14ac:dyDescent="0.3">
      <c r="A52" s="7" t="s">
        <v>148</v>
      </c>
      <c r="B52" s="7" t="s">
        <v>165</v>
      </c>
      <c r="C52" s="7" t="s">
        <v>169</v>
      </c>
      <c r="D52" s="7" t="s">
        <v>178</v>
      </c>
      <c r="E52" s="7">
        <v>73348</v>
      </c>
      <c r="F52" s="8">
        <v>42981</v>
      </c>
      <c r="G52" s="7">
        <v>2</v>
      </c>
      <c r="H52" s="7" t="s">
        <v>178</v>
      </c>
      <c r="I52" s="7" t="s">
        <v>243</v>
      </c>
    </row>
    <row r="53" spans="1:9" ht="19.95" customHeight="1" x14ac:dyDescent="0.3">
      <c r="A53" s="7" t="s">
        <v>153</v>
      </c>
      <c r="B53" s="7" t="s">
        <v>159</v>
      </c>
      <c r="C53" s="7" t="s">
        <v>178</v>
      </c>
      <c r="D53" s="7" t="s">
        <v>178</v>
      </c>
      <c r="E53" s="7">
        <v>94148</v>
      </c>
      <c r="F53" s="8">
        <v>43016</v>
      </c>
      <c r="G53" s="7">
        <v>2</v>
      </c>
      <c r="H53" s="7" t="s">
        <v>178</v>
      </c>
      <c r="I53" s="7" t="s">
        <v>278</v>
      </c>
    </row>
    <row r="54" spans="1:9" ht="19.95" customHeight="1" x14ac:dyDescent="0.3">
      <c r="A54" s="7" t="s">
        <v>155</v>
      </c>
      <c r="B54" s="7" t="s">
        <v>161</v>
      </c>
      <c r="C54" s="7" t="s">
        <v>170</v>
      </c>
      <c r="D54" s="7" t="s">
        <v>173</v>
      </c>
      <c r="E54" s="7">
        <v>57141</v>
      </c>
      <c r="F54" s="8">
        <v>43030</v>
      </c>
      <c r="G54" s="7">
        <v>2</v>
      </c>
      <c r="H54" s="7" t="s">
        <v>178</v>
      </c>
      <c r="I54" s="7" t="s">
        <v>276</v>
      </c>
    </row>
    <row r="55" spans="1:9" ht="19.95" customHeight="1" x14ac:dyDescent="0.3">
      <c r="A55" s="7" t="s">
        <v>24</v>
      </c>
      <c r="B55" s="7" t="s">
        <v>178</v>
      </c>
      <c r="C55" s="7" t="s">
        <v>169</v>
      </c>
      <c r="D55" s="7" t="s">
        <v>174</v>
      </c>
      <c r="E55" s="7">
        <v>92443</v>
      </c>
      <c r="F55" s="8">
        <v>42113</v>
      </c>
      <c r="G55" s="7">
        <v>3</v>
      </c>
      <c r="H55" s="7" t="s">
        <v>179</v>
      </c>
      <c r="I55" s="7" t="s">
        <v>195</v>
      </c>
    </row>
    <row r="56" spans="1:9" ht="19.95" customHeight="1" x14ac:dyDescent="0.3">
      <c r="A56" s="7" t="s">
        <v>32</v>
      </c>
      <c r="B56" s="7" t="s">
        <v>160</v>
      </c>
      <c r="C56" s="7" t="s">
        <v>170</v>
      </c>
      <c r="D56" s="7" t="s">
        <v>175</v>
      </c>
      <c r="E56" s="7">
        <v>36515</v>
      </c>
      <c r="F56" s="8">
        <v>42169</v>
      </c>
      <c r="G56" s="7">
        <v>3</v>
      </c>
      <c r="H56" s="7" t="s">
        <v>180</v>
      </c>
      <c r="I56" s="7" t="s">
        <v>203</v>
      </c>
    </row>
    <row r="57" spans="1:9" ht="19.95" customHeight="1" x14ac:dyDescent="0.3">
      <c r="A57" s="7" t="s">
        <v>34</v>
      </c>
      <c r="B57" s="7" t="s">
        <v>164</v>
      </c>
      <c r="C57" s="7" t="s">
        <v>178</v>
      </c>
      <c r="D57" s="7" t="s">
        <v>178</v>
      </c>
      <c r="E57" s="7">
        <v>52272</v>
      </c>
      <c r="F57" s="8">
        <v>42183</v>
      </c>
      <c r="G57" s="7">
        <v>3</v>
      </c>
      <c r="H57" s="7" t="s">
        <v>178</v>
      </c>
      <c r="I57" s="7" t="s">
        <v>205</v>
      </c>
    </row>
    <row r="58" spans="1:9" ht="19.95" customHeight="1" x14ac:dyDescent="0.3">
      <c r="A58" s="7" t="s">
        <v>36</v>
      </c>
      <c r="B58" s="7" t="s">
        <v>160</v>
      </c>
      <c r="C58" s="7" t="s">
        <v>169</v>
      </c>
      <c r="D58" s="7" t="s">
        <v>175</v>
      </c>
      <c r="E58" s="7">
        <v>41448</v>
      </c>
      <c r="F58" s="8">
        <v>42197</v>
      </c>
      <c r="G58" s="7">
        <v>3</v>
      </c>
      <c r="H58" s="7" t="s">
        <v>179</v>
      </c>
      <c r="I58" s="7" t="s">
        <v>207</v>
      </c>
    </row>
    <row r="59" spans="1:9" ht="19.95" customHeight="1" x14ac:dyDescent="0.3">
      <c r="A59" s="7" t="s">
        <v>40</v>
      </c>
      <c r="B59" s="7" t="s">
        <v>159</v>
      </c>
      <c r="C59" s="7" t="s">
        <v>167</v>
      </c>
      <c r="D59" s="7" t="s">
        <v>172</v>
      </c>
      <c r="E59" s="7">
        <v>92299</v>
      </c>
      <c r="F59" s="8">
        <v>42225</v>
      </c>
      <c r="G59" s="7">
        <v>3</v>
      </c>
      <c r="H59" s="7" t="s">
        <v>180</v>
      </c>
      <c r="I59" s="7" t="s">
        <v>211</v>
      </c>
    </row>
    <row r="60" spans="1:9" ht="19.95" customHeight="1" x14ac:dyDescent="0.3">
      <c r="A60" s="7" t="s">
        <v>41</v>
      </c>
      <c r="B60" s="7" t="s">
        <v>163</v>
      </c>
      <c r="C60" s="7" t="s">
        <v>167</v>
      </c>
      <c r="D60" s="7" t="s">
        <v>178</v>
      </c>
      <c r="E60" s="7">
        <v>95586</v>
      </c>
      <c r="F60" s="8">
        <v>42232</v>
      </c>
      <c r="G60" s="7">
        <v>3</v>
      </c>
      <c r="H60" s="7" t="s">
        <v>179</v>
      </c>
      <c r="I60" s="7" t="s">
        <v>212</v>
      </c>
    </row>
    <row r="61" spans="1:9" ht="19.95" customHeight="1" x14ac:dyDescent="0.3">
      <c r="A61" s="7" t="s">
        <v>43</v>
      </c>
      <c r="B61" s="7" t="s">
        <v>161</v>
      </c>
      <c r="C61" s="7" t="s">
        <v>168</v>
      </c>
      <c r="D61" s="7" t="s">
        <v>176</v>
      </c>
      <c r="E61" s="7">
        <v>79549</v>
      </c>
      <c r="F61" s="8">
        <v>42246</v>
      </c>
      <c r="G61" s="7">
        <v>3</v>
      </c>
      <c r="H61" s="7" t="s">
        <v>178</v>
      </c>
      <c r="I61" s="7" t="s">
        <v>214</v>
      </c>
    </row>
    <row r="62" spans="1:9" ht="19.95" customHeight="1" x14ac:dyDescent="0.3">
      <c r="A62" s="7" t="s">
        <v>48</v>
      </c>
      <c r="B62" s="7" t="s">
        <v>164</v>
      </c>
      <c r="C62" s="7" t="s">
        <v>167</v>
      </c>
      <c r="D62" s="7" t="s">
        <v>175</v>
      </c>
      <c r="E62" s="7">
        <v>48224</v>
      </c>
      <c r="F62" s="8">
        <v>42281</v>
      </c>
      <c r="G62" s="7">
        <v>3</v>
      </c>
      <c r="H62" s="7" t="s">
        <v>178</v>
      </c>
      <c r="I62" s="7" t="s">
        <v>218</v>
      </c>
    </row>
    <row r="63" spans="1:9" ht="19.95" customHeight="1" x14ac:dyDescent="0.3">
      <c r="A63" s="7" t="s">
        <v>54</v>
      </c>
      <c r="B63" s="7" t="s">
        <v>178</v>
      </c>
      <c r="C63" s="7" t="s">
        <v>167</v>
      </c>
      <c r="D63" s="7" t="s">
        <v>178</v>
      </c>
      <c r="E63" s="7">
        <v>58962</v>
      </c>
      <c r="F63" s="8">
        <v>42323</v>
      </c>
      <c r="G63" s="7">
        <v>3</v>
      </c>
      <c r="H63" s="7" t="s">
        <v>179</v>
      </c>
      <c r="I63" s="7" t="s">
        <v>183</v>
      </c>
    </row>
    <row r="64" spans="1:9" ht="19.95" customHeight="1" x14ac:dyDescent="0.3">
      <c r="A64" s="7" t="s">
        <v>55</v>
      </c>
      <c r="B64" s="7" t="s">
        <v>164</v>
      </c>
      <c r="C64" s="7" t="s">
        <v>169</v>
      </c>
      <c r="D64" s="7" t="s">
        <v>172</v>
      </c>
      <c r="E64" s="7">
        <v>92701</v>
      </c>
      <c r="F64" s="8">
        <v>42330</v>
      </c>
      <c r="G64" s="7">
        <v>3</v>
      </c>
      <c r="H64" s="7" t="s">
        <v>179</v>
      </c>
      <c r="I64" s="7" t="s">
        <v>224</v>
      </c>
    </row>
    <row r="65" spans="1:9" ht="19.95" customHeight="1" x14ac:dyDescent="0.3">
      <c r="A65" s="7" t="s">
        <v>62</v>
      </c>
      <c r="B65" s="7" t="s">
        <v>159</v>
      </c>
      <c r="C65" s="7" t="s">
        <v>166</v>
      </c>
      <c r="D65" s="7" t="s">
        <v>175</v>
      </c>
      <c r="E65" s="7">
        <v>33352</v>
      </c>
      <c r="F65" s="8">
        <v>42379</v>
      </c>
      <c r="G65" s="7">
        <v>3</v>
      </c>
      <c r="H65" s="7" t="s">
        <v>181</v>
      </c>
      <c r="I65" s="7" t="s">
        <v>200</v>
      </c>
    </row>
    <row r="66" spans="1:9" ht="19.95" customHeight="1" x14ac:dyDescent="0.3">
      <c r="A66" s="7" t="s">
        <v>66</v>
      </c>
      <c r="B66" s="7" t="s">
        <v>159</v>
      </c>
      <c r="C66" s="7" t="s">
        <v>178</v>
      </c>
      <c r="D66" s="7" t="s">
        <v>174</v>
      </c>
      <c r="E66" s="7">
        <v>96949</v>
      </c>
      <c r="F66" s="8">
        <v>42407</v>
      </c>
      <c r="G66" s="7">
        <v>3</v>
      </c>
      <c r="H66" s="7" t="s">
        <v>178</v>
      </c>
      <c r="I66" s="7" t="s">
        <v>207</v>
      </c>
    </row>
    <row r="67" spans="1:9" ht="19.95" customHeight="1" x14ac:dyDescent="0.3">
      <c r="A67" s="7" t="s">
        <v>75</v>
      </c>
      <c r="B67" s="7" t="s">
        <v>163</v>
      </c>
      <c r="C67" s="7" t="s">
        <v>178</v>
      </c>
      <c r="D67" s="7" t="s">
        <v>176</v>
      </c>
      <c r="E67" s="7">
        <v>96365</v>
      </c>
      <c r="F67" s="8">
        <v>42470</v>
      </c>
      <c r="G67" s="7">
        <v>3</v>
      </c>
      <c r="H67" s="7" t="s">
        <v>179</v>
      </c>
      <c r="I67" s="7" t="s">
        <v>238</v>
      </c>
    </row>
    <row r="68" spans="1:9" ht="19.95" customHeight="1" x14ac:dyDescent="0.3">
      <c r="A68" s="7" t="s">
        <v>76</v>
      </c>
      <c r="B68" s="7" t="s">
        <v>160</v>
      </c>
      <c r="C68" s="7" t="s">
        <v>168</v>
      </c>
      <c r="D68" s="7" t="s">
        <v>174</v>
      </c>
      <c r="E68" s="7">
        <v>61942</v>
      </c>
      <c r="F68" s="8">
        <v>42477</v>
      </c>
      <c r="G68" s="7">
        <v>3</v>
      </c>
      <c r="H68" s="7" t="s">
        <v>181</v>
      </c>
      <c r="I68" s="7" t="s">
        <v>239</v>
      </c>
    </row>
    <row r="69" spans="1:9" ht="19.95" customHeight="1" x14ac:dyDescent="0.3">
      <c r="A69" s="7" t="s">
        <v>80</v>
      </c>
      <c r="B69" s="7" t="s">
        <v>159</v>
      </c>
      <c r="C69" s="7" t="s">
        <v>170</v>
      </c>
      <c r="D69" s="7" t="s">
        <v>173</v>
      </c>
      <c r="E69" s="7">
        <v>85065</v>
      </c>
      <c r="F69" s="8">
        <v>42505</v>
      </c>
      <c r="G69" s="7">
        <v>3</v>
      </c>
      <c r="H69" s="7" t="s">
        <v>178</v>
      </c>
      <c r="I69" s="7" t="s">
        <v>241</v>
      </c>
    </row>
    <row r="70" spans="1:9" ht="19.95" customHeight="1" x14ac:dyDescent="0.3">
      <c r="A70" s="7" t="s">
        <v>90</v>
      </c>
      <c r="B70" s="7" t="s">
        <v>162</v>
      </c>
      <c r="C70" s="7" t="s">
        <v>168</v>
      </c>
      <c r="D70" s="7" t="s">
        <v>173</v>
      </c>
      <c r="E70" s="7">
        <v>95621</v>
      </c>
      <c r="F70" s="8">
        <v>42575</v>
      </c>
      <c r="G70" s="7">
        <v>3</v>
      </c>
      <c r="H70" s="7" t="s">
        <v>181</v>
      </c>
      <c r="I70" s="7" t="s">
        <v>246</v>
      </c>
    </row>
    <row r="71" spans="1:9" ht="19.95" customHeight="1" x14ac:dyDescent="0.3">
      <c r="A71" s="7" t="s">
        <v>97</v>
      </c>
      <c r="B71" s="7" t="s">
        <v>164</v>
      </c>
      <c r="C71" s="7" t="s">
        <v>169</v>
      </c>
      <c r="D71" s="7" t="s">
        <v>178</v>
      </c>
      <c r="E71" s="7">
        <v>63434</v>
      </c>
      <c r="F71" s="8">
        <v>42624</v>
      </c>
      <c r="G71" s="7">
        <v>3</v>
      </c>
      <c r="H71" s="7" t="s">
        <v>178</v>
      </c>
      <c r="I71" s="7" t="s">
        <v>251</v>
      </c>
    </row>
    <row r="72" spans="1:9" ht="19.95" customHeight="1" x14ac:dyDescent="0.3">
      <c r="A72" s="7" t="s">
        <v>98</v>
      </c>
      <c r="B72" s="7" t="s">
        <v>162</v>
      </c>
      <c r="C72" s="7" t="s">
        <v>178</v>
      </c>
      <c r="D72" s="7" t="s">
        <v>176</v>
      </c>
      <c r="E72" s="7">
        <v>38830</v>
      </c>
      <c r="F72" s="8">
        <v>42631</v>
      </c>
      <c r="G72" s="7">
        <v>3</v>
      </c>
      <c r="H72" s="7" t="s">
        <v>179</v>
      </c>
      <c r="I72" s="7" t="s">
        <v>203</v>
      </c>
    </row>
    <row r="73" spans="1:9" ht="19.95" customHeight="1" x14ac:dyDescent="0.3">
      <c r="A73" s="7" t="s">
        <v>99</v>
      </c>
      <c r="B73" s="7" t="s">
        <v>178</v>
      </c>
      <c r="C73" s="7" t="s">
        <v>170</v>
      </c>
      <c r="D73" s="7" t="s">
        <v>175</v>
      </c>
      <c r="E73" s="7">
        <v>50741</v>
      </c>
      <c r="F73" s="8">
        <v>42638</v>
      </c>
      <c r="G73" s="7">
        <v>3</v>
      </c>
      <c r="H73" s="7" t="s">
        <v>178</v>
      </c>
      <c r="I73" s="7" t="s">
        <v>240</v>
      </c>
    </row>
    <row r="74" spans="1:9" ht="19.95" customHeight="1" x14ac:dyDescent="0.3">
      <c r="A74" s="7" t="s">
        <v>105</v>
      </c>
      <c r="B74" s="7" t="s">
        <v>162</v>
      </c>
      <c r="C74" s="7" t="s">
        <v>166</v>
      </c>
      <c r="D74" s="7" t="s">
        <v>173</v>
      </c>
      <c r="E74" s="7">
        <v>72939</v>
      </c>
      <c r="F74" s="8">
        <v>42680</v>
      </c>
      <c r="G74" s="7">
        <v>3</v>
      </c>
      <c r="H74" s="7" t="s">
        <v>178</v>
      </c>
      <c r="I74" s="7" t="s">
        <v>255</v>
      </c>
    </row>
    <row r="75" spans="1:9" ht="19.95" customHeight="1" x14ac:dyDescent="0.3">
      <c r="A75" s="7" t="s">
        <v>114</v>
      </c>
      <c r="B75" s="7" t="s">
        <v>178</v>
      </c>
      <c r="C75" s="7" t="s">
        <v>167</v>
      </c>
      <c r="D75" s="7" t="s">
        <v>175</v>
      </c>
      <c r="E75" s="7">
        <v>87963</v>
      </c>
      <c r="F75" s="8">
        <v>42743</v>
      </c>
      <c r="G75" s="7">
        <v>3</v>
      </c>
      <c r="H75" s="7" t="s">
        <v>179</v>
      </c>
      <c r="I75" s="7" t="s">
        <v>178</v>
      </c>
    </row>
    <row r="76" spans="1:9" ht="19.95" customHeight="1" x14ac:dyDescent="0.3">
      <c r="A76" s="7" t="s">
        <v>127</v>
      </c>
      <c r="B76" s="7" t="s">
        <v>164</v>
      </c>
      <c r="C76" s="7" t="s">
        <v>168</v>
      </c>
      <c r="D76" s="7" t="s">
        <v>174</v>
      </c>
      <c r="E76" s="7">
        <v>95032</v>
      </c>
      <c r="F76" s="8">
        <v>42834</v>
      </c>
      <c r="G76" s="7">
        <v>3</v>
      </c>
      <c r="H76" s="7" t="s">
        <v>178</v>
      </c>
      <c r="I76" s="7" t="s">
        <v>267</v>
      </c>
    </row>
    <row r="77" spans="1:9" ht="19.95" customHeight="1" x14ac:dyDescent="0.3">
      <c r="A77" s="7" t="s">
        <v>131</v>
      </c>
      <c r="B77" s="7" t="s">
        <v>165</v>
      </c>
      <c r="C77" s="7" t="s">
        <v>168</v>
      </c>
      <c r="D77" s="7" t="s">
        <v>172</v>
      </c>
      <c r="E77" s="7">
        <v>52036</v>
      </c>
      <c r="F77" s="8">
        <v>42862</v>
      </c>
      <c r="G77" s="7">
        <v>3</v>
      </c>
      <c r="H77" s="7" t="s">
        <v>180</v>
      </c>
      <c r="I77" s="7" t="s">
        <v>270</v>
      </c>
    </row>
    <row r="78" spans="1:9" ht="19.95" customHeight="1" x14ac:dyDescent="0.3">
      <c r="A78" s="7" t="s">
        <v>135</v>
      </c>
      <c r="B78" s="7" t="s">
        <v>165</v>
      </c>
      <c r="C78" s="7" t="s">
        <v>178</v>
      </c>
      <c r="D78" s="7" t="s">
        <v>172</v>
      </c>
      <c r="E78" s="7">
        <v>71494</v>
      </c>
      <c r="F78" s="8">
        <v>42890</v>
      </c>
      <c r="G78" s="7">
        <v>3</v>
      </c>
      <c r="H78" s="7" t="s">
        <v>180</v>
      </c>
      <c r="I78" s="7" t="s">
        <v>273</v>
      </c>
    </row>
    <row r="79" spans="1:9" ht="19.95" customHeight="1" x14ac:dyDescent="0.3">
      <c r="A79" s="7" t="s">
        <v>139</v>
      </c>
      <c r="B79" s="7" t="s">
        <v>160</v>
      </c>
      <c r="C79" s="7" t="s">
        <v>168</v>
      </c>
      <c r="D79" s="7" t="s">
        <v>174</v>
      </c>
      <c r="E79" s="7">
        <v>48289</v>
      </c>
      <c r="F79" s="7" t="s">
        <v>178</v>
      </c>
      <c r="G79" s="7">
        <v>3</v>
      </c>
      <c r="H79" s="7" t="s">
        <v>180</v>
      </c>
      <c r="I79" s="7" t="s">
        <v>189</v>
      </c>
    </row>
    <row r="80" spans="1:9" ht="19.95" customHeight="1" x14ac:dyDescent="0.3">
      <c r="A80" s="7" t="s">
        <v>140</v>
      </c>
      <c r="B80" s="7" t="s">
        <v>163</v>
      </c>
      <c r="C80" s="7" t="s">
        <v>170</v>
      </c>
      <c r="D80" s="7" t="s">
        <v>172</v>
      </c>
      <c r="E80" s="7">
        <v>34402</v>
      </c>
      <c r="F80" s="8">
        <v>42925</v>
      </c>
      <c r="G80" s="7">
        <v>3</v>
      </c>
      <c r="H80" s="7" t="s">
        <v>179</v>
      </c>
      <c r="I80" s="7" t="s">
        <v>218</v>
      </c>
    </row>
    <row r="81" spans="1:9" ht="19.95" customHeight="1" x14ac:dyDescent="0.3">
      <c r="A81" s="7" t="s">
        <v>141</v>
      </c>
      <c r="B81" s="7" t="s">
        <v>159</v>
      </c>
      <c r="C81" s="7" t="s">
        <v>167</v>
      </c>
      <c r="D81" s="7" t="s">
        <v>173</v>
      </c>
      <c r="E81" s="7">
        <v>38678</v>
      </c>
      <c r="F81" s="8">
        <v>42932</v>
      </c>
      <c r="G81" s="7">
        <v>3</v>
      </c>
      <c r="H81" s="7" t="s">
        <v>179</v>
      </c>
      <c r="I81" s="7" t="s">
        <v>275</v>
      </c>
    </row>
    <row r="82" spans="1:9" ht="19.95" customHeight="1" x14ac:dyDescent="0.3">
      <c r="A82" s="7" t="s">
        <v>142</v>
      </c>
      <c r="B82" s="7" t="s">
        <v>164</v>
      </c>
      <c r="C82" s="7" t="s">
        <v>167</v>
      </c>
      <c r="D82" s="7" t="s">
        <v>172</v>
      </c>
      <c r="E82" s="7">
        <v>45758</v>
      </c>
      <c r="F82" s="8">
        <v>42939</v>
      </c>
      <c r="G82" s="7">
        <v>3</v>
      </c>
      <c r="H82" s="7" t="s">
        <v>178</v>
      </c>
      <c r="I82" s="7" t="s">
        <v>264</v>
      </c>
    </row>
    <row r="83" spans="1:9" ht="19.95" customHeight="1" x14ac:dyDescent="0.3">
      <c r="A83" s="7" t="s">
        <v>144</v>
      </c>
      <c r="B83" s="7" t="s">
        <v>178</v>
      </c>
      <c r="C83" s="7" t="s">
        <v>169</v>
      </c>
      <c r="D83" s="7" t="s">
        <v>175</v>
      </c>
      <c r="E83" s="7">
        <v>39280</v>
      </c>
      <c r="F83" s="8">
        <v>42953</v>
      </c>
      <c r="G83" s="7">
        <v>3</v>
      </c>
      <c r="H83" s="7" t="s">
        <v>181</v>
      </c>
      <c r="I83" s="7" t="s">
        <v>214</v>
      </c>
    </row>
    <row r="84" spans="1:9" ht="19.95" customHeight="1" x14ac:dyDescent="0.3">
      <c r="A84" s="7" t="s">
        <v>151</v>
      </c>
      <c r="B84" s="7" t="s">
        <v>160</v>
      </c>
      <c r="C84" s="7" t="s">
        <v>170</v>
      </c>
      <c r="D84" s="7" t="s">
        <v>178</v>
      </c>
      <c r="E84" s="7">
        <v>86775</v>
      </c>
      <c r="F84" s="8">
        <v>43002</v>
      </c>
      <c r="G84" s="7">
        <v>3</v>
      </c>
      <c r="H84" s="7" t="s">
        <v>179</v>
      </c>
      <c r="I84" s="7" t="s">
        <v>212</v>
      </c>
    </row>
    <row r="85" spans="1:9" ht="19.95" customHeight="1" x14ac:dyDescent="0.3">
      <c r="A85" s="7" t="s">
        <v>22</v>
      </c>
      <c r="B85" s="7" t="s">
        <v>163</v>
      </c>
      <c r="C85" s="7" t="s">
        <v>178</v>
      </c>
      <c r="D85" s="7" t="s">
        <v>174</v>
      </c>
      <c r="E85" s="7">
        <v>62158</v>
      </c>
      <c r="F85" s="8">
        <v>42099</v>
      </c>
      <c r="G85" s="7">
        <v>4</v>
      </c>
      <c r="H85" s="7" t="s">
        <v>178</v>
      </c>
      <c r="I85" s="7" t="s">
        <v>193</v>
      </c>
    </row>
    <row r="86" spans="1:9" ht="19.95" customHeight="1" x14ac:dyDescent="0.3">
      <c r="A86" s="7" t="s">
        <v>30</v>
      </c>
      <c r="B86" s="7" t="s">
        <v>162</v>
      </c>
      <c r="C86" s="7" t="s">
        <v>167</v>
      </c>
      <c r="D86" s="7" t="s">
        <v>178</v>
      </c>
      <c r="E86" s="7">
        <v>98922</v>
      </c>
      <c r="F86" s="8">
        <v>42155</v>
      </c>
      <c r="G86" s="7">
        <v>4</v>
      </c>
      <c r="H86" s="7" t="s">
        <v>178</v>
      </c>
      <c r="I86" s="7" t="s">
        <v>201</v>
      </c>
    </row>
    <row r="87" spans="1:9" ht="19.95" customHeight="1" x14ac:dyDescent="0.3">
      <c r="A87" s="7" t="s">
        <v>44</v>
      </c>
      <c r="B87" s="7" t="s">
        <v>160</v>
      </c>
      <c r="C87" s="7" t="s">
        <v>178</v>
      </c>
      <c r="D87" s="7" t="s">
        <v>175</v>
      </c>
      <c r="E87" s="7">
        <v>54463</v>
      </c>
      <c r="F87" s="8">
        <v>42253</v>
      </c>
      <c r="G87" s="7">
        <v>4</v>
      </c>
      <c r="H87" s="7" t="s">
        <v>180</v>
      </c>
      <c r="I87" s="7" t="s">
        <v>178</v>
      </c>
    </row>
    <row r="88" spans="1:9" ht="19.95" customHeight="1" x14ac:dyDescent="0.3">
      <c r="A88" s="7" t="s">
        <v>49</v>
      </c>
      <c r="B88" s="7" t="s">
        <v>165</v>
      </c>
      <c r="C88" s="7" t="s">
        <v>166</v>
      </c>
      <c r="D88" s="7" t="s">
        <v>175</v>
      </c>
      <c r="E88" s="7" t="s">
        <v>178</v>
      </c>
      <c r="F88" s="7" t="s">
        <v>178</v>
      </c>
      <c r="G88" s="7">
        <v>4</v>
      </c>
      <c r="H88" s="7" t="s">
        <v>181</v>
      </c>
      <c r="I88" s="7" t="s">
        <v>219</v>
      </c>
    </row>
    <row r="89" spans="1:9" ht="19.95" customHeight="1" x14ac:dyDescent="0.3">
      <c r="A89" s="7" t="s">
        <v>56</v>
      </c>
      <c r="B89" s="7" t="s">
        <v>164</v>
      </c>
      <c r="C89" s="7" t="s">
        <v>167</v>
      </c>
      <c r="D89" s="7" t="s">
        <v>174</v>
      </c>
      <c r="E89" s="7">
        <v>58245</v>
      </c>
      <c r="F89" s="8">
        <v>42337</v>
      </c>
      <c r="G89" s="7">
        <v>4</v>
      </c>
      <c r="H89" s="7" t="s">
        <v>178</v>
      </c>
      <c r="I89" s="7" t="s">
        <v>225</v>
      </c>
    </row>
    <row r="90" spans="1:9" ht="19.95" customHeight="1" x14ac:dyDescent="0.3">
      <c r="A90" s="7" t="s">
        <v>74</v>
      </c>
      <c r="B90" s="7" t="s">
        <v>163</v>
      </c>
      <c r="C90" s="7" t="s">
        <v>166</v>
      </c>
      <c r="D90" s="7" t="s">
        <v>174</v>
      </c>
      <c r="E90" s="7">
        <v>33468</v>
      </c>
      <c r="F90" s="8">
        <v>42463</v>
      </c>
      <c r="G90" s="7">
        <v>4</v>
      </c>
      <c r="H90" s="7" t="s">
        <v>180</v>
      </c>
      <c r="I90" s="7" t="s">
        <v>237</v>
      </c>
    </row>
    <row r="91" spans="1:9" ht="19.95" customHeight="1" x14ac:dyDescent="0.3">
      <c r="A91" s="7" t="s">
        <v>82</v>
      </c>
      <c r="B91" s="7" t="s">
        <v>161</v>
      </c>
      <c r="C91" s="7" t="s">
        <v>168</v>
      </c>
      <c r="D91" s="7" t="s">
        <v>174</v>
      </c>
      <c r="E91" s="7">
        <v>91101</v>
      </c>
      <c r="F91" s="8">
        <v>42519</v>
      </c>
      <c r="G91" s="7">
        <v>4</v>
      </c>
      <c r="H91" s="7" t="s">
        <v>181</v>
      </c>
      <c r="I91" s="7" t="s">
        <v>234</v>
      </c>
    </row>
    <row r="92" spans="1:9" ht="19.95" customHeight="1" x14ac:dyDescent="0.3">
      <c r="A92" s="7" t="s">
        <v>93</v>
      </c>
      <c r="B92" s="7" t="s">
        <v>161</v>
      </c>
      <c r="C92" s="7" t="s">
        <v>170</v>
      </c>
      <c r="D92" s="7" t="s">
        <v>174</v>
      </c>
      <c r="E92" s="7">
        <v>44682</v>
      </c>
      <c r="F92" s="8">
        <v>42596</v>
      </c>
      <c r="G92" s="7">
        <v>4</v>
      </c>
      <c r="H92" s="7" t="s">
        <v>181</v>
      </c>
      <c r="I92" s="7" t="s">
        <v>220</v>
      </c>
    </row>
    <row r="93" spans="1:9" ht="19.95" customHeight="1" x14ac:dyDescent="0.3">
      <c r="A93" s="7" t="s">
        <v>95</v>
      </c>
      <c r="B93" s="7" t="s">
        <v>164</v>
      </c>
      <c r="C93" s="7" t="s">
        <v>169</v>
      </c>
      <c r="D93" s="7" t="s">
        <v>174</v>
      </c>
      <c r="E93" s="7">
        <v>33483</v>
      </c>
      <c r="F93" s="8">
        <v>42610</v>
      </c>
      <c r="G93" s="7">
        <v>4</v>
      </c>
      <c r="H93" s="7" t="s">
        <v>180</v>
      </c>
      <c r="I93" s="7" t="s">
        <v>250</v>
      </c>
    </row>
    <row r="94" spans="1:9" ht="19.95" customHeight="1" x14ac:dyDescent="0.3">
      <c r="A94" s="7" t="s">
        <v>96</v>
      </c>
      <c r="B94" s="7" t="s">
        <v>163</v>
      </c>
      <c r="C94" s="7" t="s">
        <v>167</v>
      </c>
      <c r="D94" s="7" t="s">
        <v>172</v>
      </c>
      <c r="E94" s="7">
        <v>55303</v>
      </c>
      <c r="F94" s="8">
        <v>42617</v>
      </c>
      <c r="G94" s="7">
        <v>4</v>
      </c>
      <c r="H94" s="7" t="s">
        <v>180</v>
      </c>
      <c r="I94" s="7" t="s">
        <v>203</v>
      </c>
    </row>
    <row r="95" spans="1:9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108</v>
      </c>
      <c r="B96" s="7" t="s">
        <v>159</v>
      </c>
      <c r="C96" s="7" t="s">
        <v>170</v>
      </c>
      <c r="D96" s="7" t="s">
        <v>173</v>
      </c>
      <c r="E96" s="7">
        <v>70096</v>
      </c>
      <c r="F96" s="8">
        <v>42701</v>
      </c>
      <c r="G96" s="7">
        <v>4</v>
      </c>
      <c r="H96" s="7" t="s">
        <v>180</v>
      </c>
      <c r="I96" s="7" t="s">
        <v>258</v>
      </c>
    </row>
    <row r="97" spans="1:9" ht="19.95" customHeight="1" x14ac:dyDescent="0.3">
      <c r="A97" s="7" t="s">
        <v>123</v>
      </c>
      <c r="B97" s="7" t="s">
        <v>159</v>
      </c>
      <c r="C97" s="7" t="s">
        <v>170</v>
      </c>
      <c r="D97" s="7" t="s">
        <v>175</v>
      </c>
      <c r="E97" s="7">
        <v>44627</v>
      </c>
      <c r="F97" s="8">
        <v>42806</v>
      </c>
      <c r="G97" s="7">
        <v>4</v>
      </c>
      <c r="H97" s="7" t="s">
        <v>178</v>
      </c>
      <c r="I97" s="7" t="s">
        <v>235</v>
      </c>
    </row>
    <row r="98" spans="1:9" ht="19.95" customHeight="1" x14ac:dyDescent="0.3">
      <c r="A98" s="7" t="s">
        <v>124</v>
      </c>
      <c r="B98" s="7" t="s">
        <v>165</v>
      </c>
      <c r="C98" s="7" t="s">
        <v>167</v>
      </c>
      <c r="D98" s="7" t="s">
        <v>172</v>
      </c>
      <c r="E98" s="7">
        <v>92343</v>
      </c>
      <c r="F98" s="8">
        <v>42813</v>
      </c>
      <c r="G98" s="7">
        <v>4</v>
      </c>
      <c r="H98" s="7" t="s">
        <v>181</v>
      </c>
      <c r="I98" s="7" t="s">
        <v>203</v>
      </c>
    </row>
    <row r="99" spans="1:9" ht="19.95" customHeight="1" x14ac:dyDescent="0.3">
      <c r="A99" s="7" t="s">
        <v>145</v>
      </c>
      <c r="B99" s="7" t="s">
        <v>162</v>
      </c>
      <c r="C99" s="7" t="s">
        <v>166</v>
      </c>
      <c r="D99" s="7" t="s">
        <v>174</v>
      </c>
      <c r="E99" s="7">
        <v>60335</v>
      </c>
      <c r="F99" s="8">
        <v>42960</v>
      </c>
      <c r="G99" s="7">
        <v>4</v>
      </c>
      <c r="H99" s="7" t="s">
        <v>179</v>
      </c>
      <c r="I99" s="7" t="s">
        <v>227</v>
      </c>
    </row>
    <row r="100" spans="1:9" ht="19.95" customHeight="1" x14ac:dyDescent="0.3">
      <c r="A100" s="7" t="s">
        <v>147</v>
      </c>
      <c r="B100" s="7" t="s">
        <v>164</v>
      </c>
      <c r="C100" s="7" t="s">
        <v>170</v>
      </c>
      <c r="D100" s="7" t="s">
        <v>176</v>
      </c>
      <c r="E100" s="7">
        <v>84750</v>
      </c>
      <c r="F100" s="8">
        <v>42974</v>
      </c>
      <c r="G100" s="7">
        <v>4</v>
      </c>
      <c r="H100" s="7" t="s">
        <v>181</v>
      </c>
      <c r="I100" s="7" t="s">
        <v>195</v>
      </c>
    </row>
    <row r="101" spans="1:9" ht="19.95" customHeight="1" x14ac:dyDescent="0.3">
      <c r="A101" s="7" t="s">
        <v>149</v>
      </c>
      <c r="B101" s="7" t="s">
        <v>164</v>
      </c>
      <c r="C101" s="7" t="s">
        <v>168</v>
      </c>
      <c r="D101" s="7" t="s">
        <v>173</v>
      </c>
      <c r="E101" s="7" t="s">
        <v>178</v>
      </c>
      <c r="F101" s="8">
        <v>42988</v>
      </c>
      <c r="G101" s="7">
        <v>4</v>
      </c>
      <c r="H101" s="7" t="s">
        <v>179</v>
      </c>
      <c r="I101" s="7" t="s">
        <v>178</v>
      </c>
    </row>
    <row r="102" spans="1:9" ht="19.95" customHeight="1" x14ac:dyDescent="0.3">
      <c r="A102" s="7" t="s">
        <v>20</v>
      </c>
      <c r="B102" s="7" t="s">
        <v>163</v>
      </c>
      <c r="C102" s="7" t="s">
        <v>169</v>
      </c>
      <c r="D102" s="7" t="s">
        <v>173</v>
      </c>
      <c r="E102" s="7">
        <v>91180</v>
      </c>
      <c r="F102" s="8">
        <v>42085</v>
      </c>
      <c r="G102" s="7">
        <v>5</v>
      </c>
      <c r="H102" s="7" t="s">
        <v>180</v>
      </c>
      <c r="I102" s="7" t="s">
        <v>192</v>
      </c>
    </row>
    <row r="103" spans="1:9" ht="19.95" customHeight="1" x14ac:dyDescent="0.3">
      <c r="A103" s="7" t="s">
        <v>21</v>
      </c>
      <c r="B103" s="7" t="s">
        <v>165</v>
      </c>
      <c r="C103" s="7" t="s">
        <v>168</v>
      </c>
      <c r="D103" s="7" t="s">
        <v>178</v>
      </c>
      <c r="E103" s="7">
        <v>96418</v>
      </c>
      <c r="F103" s="8">
        <v>42092</v>
      </c>
      <c r="G103" s="7">
        <v>5</v>
      </c>
      <c r="H103" s="7" t="s">
        <v>180</v>
      </c>
      <c r="I103" s="7" t="s">
        <v>183</v>
      </c>
    </row>
    <row r="104" spans="1:9" ht="19.95" customHeight="1" x14ac:dyDescent="0.3">
      <c r="A104" s="7" t="s">
        <v>28</v>
      </c>
      <c r="B104" s="7" t="s">
        <v>159</v>
      </c>
      <c r="C104" s="7" t="s">
        <v>178</v>
      </c>
      <c r="D104" s="7" t="s">
        <v>174</v>
      </c>
      <c r="E104" s="7">
        <v>67531</v>
      </c>
      <c r="F104" s="8">
        <v>42141</v>
      </c>
      <c r="G104" s="7">
        <v>5</v>
      </c>
      <c r="H104" s="7" t="s">
        <v>181</v>
      </c>
      <c r="I104" s="7" t="s">
        <v>199</v>
      </c>
    </row>
    <row r="105" spans="1:9" ht="19.95" customHeight="1" x14ac:dyDescent="0.3">
      <c r="A105" s="7" t="s">
        <v>31</v>
      </c>
      <c r="B105" s="7" t="s">
        <v>159</v>
      </c>
      <c r="C105" s="7" t="s">
        <v>166</v>
      </c>
      <c r="D105" s="7" t="s">
        <v>174</v>
      </c>
      <c r="E105" s="7">
        <v>38333</v>
      </c>
      <c r="F105" s="8">
        <v>42162</v>
      </c>
      <c r="G105" s="7">
        <v>5</v>
      </c>
      <c r="H105" s="7" t="s">
        <v>178</v>
      </c>
      <c r="I105" s="7" t="s">
        <v>202</v>
      </c>
    </row>
    <row r="106" spans="1:9" ht="19.95" customHeight="1" x14ac:dyDescent="0.3">
      <c r="A106" s="7" t="s">
        <v>38</v>
      </c>
      <c r="B106" s="7" t="s">
        <v>165</v>
      </c>
      <c r="C106" s="7" t="s">
        <v>170</v>
      </c>
      <c r="D106" s="7" t="s">
        <v>175</v>
      </c>
      <c r="E106" s="7">
        <v>92959</v>
      </c>
      <c r="F106" s="8">
        <v>42211</v>
      </c>
      <c r="G106" s="7">
        <v>5</v>
      </c>
      <c r="H106" s="7" t="s">
        <v>178</v>
      </c>
      <c r="I106" s="7" t="s">
        <v>209</v>
      </c>
    </row>
    <row r="107" spans="1:9" ht="19.95" customHeight="1" x14ac:dyDescent="0.3">
      <c r="A107" s="7" t="s">
        <v>47</v>
      </c>
      <c r="B107" s="7" t="s">
        <v>161</v>
      </c>
      <c r="C107" s="7" t="s">
        <v>170</v>
      </c>
      <c r="D107" s="7" t="s">
        <v>175</v>
      </c>
      <c r="E107" s="7">
        <v>52093</v>
      </c>
      <c r="F107" s="8">
        <v>42274</v>
      </c>
      <c r="G107" s="7">
        <v>5</v>
      </c>
      <c r="H107" s="7" t="s">
        <v>178</v>
      </c>
      <c r="I107" s="7" t="s">
        <v>217</v>
      </c>
    </row>
    <row r="108" spans="1:9" ht="19.95" customHeight="1" x14ac:dyDescent="0.3">
      <c r="A108" s="7" t="s">
        <v>58</v>
      </c>
      <c r="B108" s="7" t="s">
        <v>159</v>
      </c>
      <c r="C108" s="7" t="s">
        <v>167</v>
      </c>
      <c r="D108" s="7" t="s">
        <v>172</v>
      </c>
      <c r="E108" s="7">
        <v>78720</v>
      </c>
      <c r="F108" s="8">
        <v>42351</v>
      </c>
      <c r="G108" s="7">
        <v>5</v>
      </c>
      <c r="H108" s="7" t="s">
        <v>181</v>
      </c>
      <c r="I108" s="7" t="s">
        <v>219</v>
      </c>
    </row>
    <row r="109" spans="1:9" ht="19.95" customHeight="1" x14ac:dyDescent="0.3">
      <c r="A109" s="7" t="s">
        <v>60</v>
      </c>
      <c r="B109" s="7" t="s">
        <v>163</v>
      </c>
      <c r="C109" s="7" t="s">
        <v>168</v>
      </c>
      <c r="D109" s="7" t="s">
        <v>174</v>
      </c>
      <c r="E109" s="7">
        <v>39423</v>
      </c>
      <c r="F109" s="8">
        <v>42365</v>
      </c>
      <c r="G109" s="7">
        <v>5</v>
      </c>
      <c r="H109" s="7" t="s">
        <v>178</v>
      </c>
      <c r="I109" s="7" t="s">
        <v>227</v>
      </c>
    </row>
    <row r="110" spans="1:9" ht="19.95" customHeight="1" x14ac:dyDescent="0.3">
      <c r="A110" s="7" t="s">
        <v>63</v>
      </c>
      <c r="B110" s="7" t="s">
        <v>165</v>
      </c>
      <c r="C110" s="7" t="s">
        <v>170</v>
      </c>
      <c r="D110" s="7" t="s">
        <v>175</v>
      </c>
      <c r="E110" s="7">
        <v>75633</v>
      </c>
      <c r="F110" s="8">
        <v>42386</v>
      </c>
      <c r="G110" s="7">
        <v>5</v>
      </c>
      <c r="H110" s="7" t="s">
        <v>179</v>
      </c>
      <c r="I110" s="7" t="s">
        <v>229</v>
      </c>
    </row>
    <row r="111" spans="1:9" ht="19.95" customHeight="1" x14ac:dyDescent="0.3">
      <c r="A111" s="7" t="s">
        <v>64</v>
      </c>
      <c r="B111" s="7" t="s">
        <v>164</v>
      </c>
      <c r="C111" s="7" t="s">
        <v>178</v>
      </c>
      <c r="D111" s="7" t="s">
        <v>173</v>
      </c>
      <c r="E111" s="7">
        <v>74815</v>
      </c>
      <c r="F111" s="8">
        <v>42393</v>
      </c>
      <c r="G111" s="7">
        <v>5</v>
      </c>
      <c r="H111" s="7" t="s">
        <v>181</v>
      </c>
      <c r="I111" s="7" t="s">
        <v>230</v>
      </c>
    </row>
    <row r="112" spans="1:9" ht="19.95" customHeight="1" x14ac:dyDescent="0.3">
      <c r="A112" s="7" t="s">
        <v>67</v>
      </c>
      <c r="B112" s="7" t="s">
        <v>163</v>
      </c>
      <c r="C112" s="7" t="s">
        <v>170</v>
      </c>
      <c r="D112" s="7" t="s">
        <v>178</v>
      </c>
      <c r="E112" s="7">
        <v>84924</v>
      </c>
      <c r="F112" s="8">
        <v>42414</v>
      </c>
      <c r="G112" s="7">
        <v>5</v>
      </c>
      <c r="H112" s="7" t="s">
        <v>180</v>
      </c>
      <c r="I112" s="7" t="s">
        <v>232</v>
      </c>
    </row>
    <row r="113" spans="1:9" ht="19.95" customHeight="1" x14ac:dyDescent="0.3">
      <c r="A113" s="7" t="s">
        <v>69</v>
      </c>
      <c r="B113" s="7" t="s">
        <v>178</v>
      </c>
      <c r="C113" s="7" t="s">
        <v>170</v>
      </c>
      <c r="D113" s="7" t="s">
        <v>172</v>
      </c>
      <c r="E113" s="7" t="s">
        <v>178</v>
      </c>
      <c r="F113" s="7" t="s">
        <v>178</v>
      </c>
      <c r="G113" s="7">
        <v>5</v>
      </c>
      <c r="H113" s="7" t="s">
        <v>178</v>
      </c>
      <c r="I113" s="7" t="s">
        <v>233</v>
      </c>
    </row>
    <row r="114" spans="1:9" ht="19.95" customHeight="1" x14ac:dyDescent="0.3">
      <c r="A114" s="7" t="s">
        <v>71</v>
      </c>
      <c r="B114" s="7" t="s">
        <v>164</v>
      </c>
      <c r="C114" s="7" t="s">
        <v>169</v>
      </c>
      <c r="D114" s="7" t="s">
        <v>175</v>
      </c>
      <c r="E114" s="7">
        <v>97981</v>
      </c>
      <c r="F114" s="8">
        <v>42442</v>
      </c>
      <c r="G114" s="7">
        <v>5</v>
      </c>
      <c r="H114" s="7" t="s">
        <v>181</v>
      </c>
      <c r="I114" s="7" t="s">
        <v>234</v>
      </c>
    </row>
    <row r="115" spans="1:9" ht="19.95" customHeight="1" x14ac:dyDescent="0.3">
      <c r="A115" s="7" t="s">
        <v>79</v>
      </c>
      <c r="B115" s="7" t="s">
        <v>159</v>
      </c>
      <c r="C115" s="7" t="s">
        <v>168</v>
      </c>
      <c r="D115" s="7" t="s">
        <v>176</v>
      </c>
      <c r="E115" s="7">
        <v>69952</v>
      </c>
      <c r="F115" s="8">
        <v>42498</v>
      </c>
      <c r="G115" s="7">
        <v>5</v>
      </c>
      <c r="H115" s="7" t="s">
        <v>181</v>
      </c>
      <c r="I115" s="7" t="s">
        <v>178</v>
      </c>
    </row>
    <row r="116" spans="1:9" ht="19.95" customHeight="1" x14ac:dyDescent="0.3">
      <c r="A116" s="7" t="s">
        <v>94</v>
      </c>
      <c r="B116" s="7" t="s">
        <v>164</v>
      </c>
      <c r="C116" s="7" t="s">
        <v>166</v>
      </c>
      <c r="D116" s="7" t="s">
        <v>178</v>
      </c>
      <c r="E116" s="7">
        <v>35163</v>
      </c>
      <c r="F116" s="8">
        <v>42603</v>
      </c>
      <c r="G116" s="7">
        <v>5</v>
      </c>
      <c r="H116" s="7" t="s">
        <v>179</v>
      </c>
      <c r="I116" s="7" t="s">
        <v>249</v>
      </c>
    </row>
    <row r="117" spans="1:9" ht="19.95" customHeight="1" x14ac:dyDescent="0.3">
      <c r="A117" s="7" t="s">
        <v>101</v>
      </c>
      <c r="B117" s="7" t="s">
        <v>162</v>
      </c>
      <c r="C117" s="7" t="s">
        <v>169</v>
      </c>
      <c r="D117" s="7" t="s">
        <v>178</v>
      </c>
      <c r="E117" s="7">
        <v>80588</v>
      </c>
      <c r="F117" s="8">
        <v>42652</v>
      </c>
      <c r="G117" s="7">
        <v>5</v>
      </c>
      <c r="H117" s="7" t="s">
        <v>180</v>
      </c>
      <c r="I117" s="7" t="s">
        <v>216</v>
      </c>
    </row>
    <row r="118" spans="1:9" ht="19.95" customHeight="1" x14ac:dyDescent="0.3">
      <c r="A118" s="7" t="s">
        <v>112</v>
      </c>
      <c r="B118" s="7" t="s">
        <v>160</v>
      </c>
      <c r="C118" s="7" t="s">
        <v>170</v>
      </c>
      <c r="D118" s="7" t="s">
        <v>178</v>
      </c>
      <c r="E118" s="7">
        <v>79145</v>
      </c>
      <c r="F118" s="8">
        <v>42729</v>
      </c>
      <c r="G118" s="7">
        <v>5</v>
      </c>
      <c r="H118" s="7" t="s">
        <v>179</v>
      </c>
      <c r="I118" s="7" t="s">
        <v>223</v>
      </c>
    </row>
    <row r="119" spans="1:9" ht="19.95" customHeight="1" x14ac:dyDescent="0.3">
      <c r="A119" s="7" t="s">
        <v>120</v>
      </c>
      <c r="B119" s="7" t="s">
        <v>164</v>
      </c>
      <c r="C119" s="7" t="s">
        <v>169</v>
      </c>
      <c r="D119" s="7" t="s">
        <v>173</v>
      </c>
      <c r="E119" s="7">
        <v>34306</v>
      </c>
      <c r="F119" s="8">
        <v>42785</v>
      </c>
      <c r="G119" s="7">
        <v>5</v>
      </c>
      <c r="H119" s="7" t="s">
        <v>181</v>
      </c>
      <c r="I119" s="7" t="s">
        <v>239</v>
      </c>
    </row>
    <row r="120" spans="1:9" ht="19.95" customHeight="1" x14ac:dyDescent="0.3">
      <c r="A120" s="7" t="s">
        <v>125</v>
      </c>
      <c r="B120" s="7" t="s">
        <v>165</v>
      </c>
      <c r="C120" s="7" t="s">
        <v>170</v>
      </c>
      <c r="D120" s="7" t="s">
        <v>176</v>
      </c>
      <c r="E120" s="7">
        <v>38837</v>
      </c>
      <c r="F120" s="8">
        <v>42820</v>
      </c>
      <c r="G120" s="7">
        <v>5</v>
      </c>
      <c r="H120" s="7" t="s">
        <v>181</v>
      </c>
      <c r="I120" s="7" t="s">
        <v>239</v>
      </c>
    </row>
    <row r="121" spans="1:9" ht="19.95" customHeight="1" x14ac:dyDescent="0.3">
      <c r="A121" s="7" t="s">
        <v>129</v>
      </c>
      <c r="B121" s="7" t="s">
        <v>178</v>
      </c>
      <c r="C121" s="7" t="s">
        <v>169</v>
      </c>
      <c r="D121" s="7" t="s">
        <v>173</v>
      </c>
      <c r="E121" s="7" t="s">
        <v>178</v>
      </c>
      <c r="F121" s="7" t="s">
        <v>178</v>
      </c>
      <c r="G121" s="7">
        <v>5</v>
      </c>
      <c r="H121" s="7" t="s">
        <v>178</v>
      </c>
      <c r="I121" s="7" t="s">
        <v>268</v>
      </c>
    </row>
    <row r="122" spans="1:9" ht="19.95" customHeight="1" x14ac:dyDescent="0.3">
      <c r="A122" s="7" t="s">
        <v>132</v>
      </c>
      <c r="B122" s="7" t="s">
        <v>162</v>
      </c>
      <c r="C122" s="7" t="s">
        <v>178</v>
      </c>
      <c r="D122" s="7" t="s">
        <v>172</v>
      </c>
      <c r="E122" s="7">
        <v>30357</v>
      </c>
      <c r="F122" s="8">
        <v>42869</v>
      </c>
      <c r="G122" s="7">
        <v>5</v>
      </c>
      <c r="H122" s="7" t="s">
        <v>180</v>
      </c>
      <c r="I122" s="7" t="s">
        <v>248</v>
      </c>
    </row>
    <row r="123" spans="1:9" ht="19.95" customHeight="1" x14ac:dyDescent="0.3">
      <c r="A123" s="7" t="s">
        <v>134</v>
      </c>
      <c r="B123" s="7" t="s">
        <v>161</v>
      </c>
      <c r="C123" s="7" t="s">
        <v>166</v>
      </c>
      <c r="D123" s="7" t="s">
        <v>178</v>
      </c>
      <c r="E123" s="7">
        <v>90019</v>
      </c>
      <c r="F123" s="8">
        <v>42883</v>
      </c>
      <c r="G123" s="7">
        <v>5</v>
      </c>
      <c r="H123" s="7" t="s">
        <v>178</v>
      </c>
      <c r="I123" s="7" t="s">
        <v>272</v>
      </c>
    </row>
    <row r="124" spans="1:9" ht="19.95" customHeight="1" x14ac:dyDescent="0.3">
      <c r="A124" s="7" t="s">
        <v>150</v>
      </c>
      <c r="B124" s="7" t="s">
        <v>162</v>
      </c>
      <c r="C124" s="7" t="s">
        <v>170</v>
      </c>
      <c r="D124" s="7" t="s">
        <v>173</v>
      </c>
      <c r="E124" s="7">
        <v>66882</v>
      </c>
      <c r="F124" s="8">
        <v>42995</v>
      </c>
      <c r="G124" s="7">
        <v>5</v>
      </c>
      <c r="H124" s="7" t="s">
        <v>179</v>
      </c>
      <c r="I124" s="7" t="s">
        <v>207</v>
      </c>
    </row>
    <row r="125" spans="1:9" ht="19.95" customHeight="1" x14ac:dyDescent="0.3">
      <c r="A125" s="7" t="s">
        <v>154</v>
      </c>
      <c r="B125" s="7" t="s">
        <v>163</v>
      </c>
      <c r="C125" s="7" t="s">
        <v>168</v>
      </c>
      <c r="D125" s="7" t="s">
        <v>176</v>
      </c>
      <c r="E125" s="7">
        <v>35627</v>
      </c>
      <c r="F125" s="8">
        <v>43023</v>
      </c>
      <c r="G125" s="7">
        <v>5</v>
      </c>
      <c r="H125" s="7" t="s">
        <v>181</v>
      </c>
      <c r="I125" s="7" t="s">
        <v>275</v>
      </c>
    </row>
    <row r="126" spans="1:9" ht="19.95" customHeight="1" x14ac:dyDescent="0.3">
      <c r="A126" s="7" t="s">
        <v>158</v>
      </c>
      <c r="B126" s="7" t="s">
        <v>163</v>
      </c>
      <c r="C126" s="7" t="s">
        <v>170</v>
      </c>
      <c r="D126" s="7" t="s">
        <v>174</v>
      </c>
      <c r="E126" s="7">
        <v>98475</v>
      </c>
      <c r="F126" s="8">
        <v>43051</v>
      </c>
      <c r="G126" s="7">
        <v>5</v>
      </c>
      <c r="H126" s="7" t="s">
        <v>179</v>
      </c>
      <c r="I126" s="7" t="s">
        <v>280</v>
      </c>
    </row>
    <row r="127" spans="1:9" ht="19.95" hidden="1" customHeight="1" x14ac:dyDescent="0.3">
      <c r="A127" s="7" t="s">
        <v>15</v>
      </c>
      <c r="B127" s="7" t="s">
        <v>163</v>
      </c>
      <c r="C127" s="7" t="s">
        <v>168</v>
      </c>
      <c r="D127" s="7" t="s">
        <v>178</v>
      </c>
      <c r="E127" s="7">
        <v>67721</v>
      </c>
      <c r="F127" s="8">
        <v>42050</v>
      </c>
      <c r="G127" s="7" t="s">
        <v>178</v>
      </c>
      <c r="H127" s="7" t="s">
        <v>180</v>
      </c>
      <c r="I127" s="7" t="s">
        <v>185</v>
      </c>
    </row>
    <row r="128" spans="1:9" ht="19.95" hidden="1" customHeight="1" x14ac:dyDescent="0.3">
      <c r="A128" s="7" t="s">
        <v>17</v>
      </c>
      <c r="B128" s="7" t="s">
        <v>160</v>
      </c>
      <c r="C128" s="7" t="s">
        <v>169</v>
      </c>
      <c r="D128" s="7" t="s">
        <v>172</v>
      </c>
      <c r="E128" s="7">
        <v>97881</v>
      </c>
      <c r="F128" s="8">
        <v>42064</v>
      </c>
      <c r="G128" s="7" t="s">
        <v>178</v>
      </c>
      <c r="H128" s="7" t="s">
        <v>181</v>
      </c>
      <c r="I128" s="7" t="s">
        <v>189</v>
      </c>
    </row>
    <row r="129" spans="1:9" ht="19.95" hidden="1" customHeight="1" x14ac:dyDescent="0.3">
      <c r="A129" s="7" t="s">
        <v>18</v>
      </c>
      <c r="B129" s="7" t="s">
        <v>164</v>
      </c>
      <c r="C129" s="7" t="s">
        <v>167</v>
      </c>
      <c r="D129" s="7" t="s">
        <v>175</v>
      </c>
      <c r="E129" s="7">
        <v>91846</v>
      </c>
      <c r="F129" s="8">
        <v>42071</v>
      </c>
      <c r="G129" s="7" t="s">
        <v>178</v>
      </c>
      <c r="H129" s="7" t="s">
        <v>180</v>
      </c>
      <c r="I129" s="7" t="s">
        <v>190</v>
      </c>
    </row>
    <row r="130" spans="1:9" ht="19.95" hidden="1" customHeight="1" x14ac:dyDescent="0.3">
      <c r="A130" s="7" t="s">
        <v>25</v>
      </c>
      <c r="B130" s="7" t="s">
        <v>165</v>
      </c>
      <c r="C130" s="7" t="s">
        <v>178</v>
      </c>
      <c r="D130" s="7" t="s">
        <v>172</v>
      </c>
      <c r="E130" s="7">
        <v>90271</v>
      </c>
      <c r="F130" s="8">
        <v>42120</v>
      </c>
      <c r="G130" s="7" t="s">
        <v>178</v>
      </c>
      <c r="H130" s="7" t="s">
        <v>178</v>
      </c>
      <c r="I130" s="7" t="s">
        <v>196</v>
      </c>
    </row>
    <row r="131" spans="1:9" ht="19.95" hidden="1" customHeight="1" x14ac:dyDescent="0.3">
      <c r="A131" s="7" t="s">
        <v>27</v>
      </c>
      <c r="B131" s="7" t="s">
        <v>160</v>
      </c>
      <c r="C131" s="7" t="s">
        <v>166</v>
      </c>
      <c r="D131" s="7" t="s">
        <v>175</v>
      </c>
      <c r="E131" s="7">
        <v>73602</v>
      </c>
      <c r="F131" s="8">
        <v>42134</v>
      </c>
      <c r="G131" s="7" t="s">
        <v>178</v>
      </c>
      <c r="H131" s="7" t="s">
        <v>178</v>
      </c>
      <c r="I131" s="7" t="s">
        <v>198</v>
      </c>
    </row>
    <row r="132" spans="1:9" ht="19.95" hidden="1" customHeight="1" x14ac:dyDescent="0.3">
      <c r="A132" s="7" t="s">
        <v>42</v>
      </c>
      <c r="B132" s="7" t="s">
        <v>164</v>
      </c>
      <c r="C132" s="7" t="s">
        <v>178</v>
      </c>
      <c r="D132" s="7" t="s">
        <v>173</v>
      </c>
      <c r="E132" s="7">
        <v>95367</v>
      </c>
      <c r="F132" s="8">
        <v>42239</v>
      </c>
      <c r="G132" s="7" t="s">
        <v>178</v>
      </c>
      <c r="H132" s="7" t="s">
        <v>180</v>
      </c>
      <c r="I132" s="7" t="s">
        <v>213</v>
      </c>
    </row>
    <row r="133" spans="1:9" ht="19.95" hidden="1" customHeight="1" x14ac:dyDescent="0.3">
      <c r="A133" s="7" t="s">
        <v>45</v>
      </c>
      <c r="B133" s="7" t="s">
        <v>160</v>
      </c>
      <c r="C133" s="7" t="s">
        <v>169</v>
      </c>
      <c r="D133" s="7" t="s">
        <v>173</v>
      </c>
      <c r="E133" s="7">
        <v>89781</v>
      </c>
      <c r="F133" s="8">
        <v>42260</v>
      </c>
      <c r="G133" s="7" t="s">
        <v>178</v>
      </c>
      <c r="H133" s="7" t="s">
        <v>181</v>
      </c>
      <c r="I133" s="7" t="s">
        <v>215</v>
      </c>
    </row>
    <row r="134" spans="1:9" ht="19.95" hidden="1" customHeight="1" x14ac:dyDescent="0.3">
      <c r="A134" s="7" t="s">
        <v>46</v>
      </c>
      <c r="B134" s="7" t="s">
        <v>160</v>
      </c>
      <c r="C134" s="7" t="s">
        <v>167</v>
      </c>
      <c r="D134" s="7" t="s">
        <v>178</v>
      </c>
      <c r="E134" s="7">
        <v>64796</v>
      </c>
      <c r="F134" s="8">
        <v>42267</v>
      </c>
      <c r="G134" s="7" t="s">
        <v>178</v>
      </c>
      <c r="H134" s="7" t="s">
        <v>179</v>
      </c>
      <c r="I134" s="7" t="s">
        <v>216</v>
      </c>
    </row>
    <row r="135" spans="1:9" ht="19.95" hidden="1" customHeight="1" x14ac:dyDescent="0.3">
      <c r="A135" s="7" t="s">
        <v>50</v>
      </c>
      <c r="B135" s="7" t="s">
        <v>160</v>
      </c>
      <c r="C135" s="7" t="s">
        <v>169</v>
      </c>
      <c r="D135" s="7" t="s">
        <v>172</v>
      </c>
      <c r="E135" s="7">
        <v>33956</v>
      </c>
      <c r="F135" s="8">
        <v>42295</v>
      </c>
      <c r="G135" s="7" t="s">
        <v>178</v>
      </c>
      <c r="H135" s="7" t="s">
        <v>178</v>
      </c>
      <c r="I135" s="7" t="s">
        <v>220</v>
      </c>
    </row>
    <row r="136" spans="1:9" ht="19.95" hidden="1" customHeight="1" x14ac:dyDescent="0.3">
      <c r="A136" s="7" t="s">
        <v>52</v>
      </c>
      <c r="B136" s="7" t="s">
        <v>160</v>
      </c>
      <c r="C136" s="7" t="s">
        <v>170</v>
      </c>
      <c r="D136" s="7" t="s">
        <v>176</v>
      </c>
      <c r="E136" s="7">
        <v>35326</v>
      </c>
      <c r="F136" s="8">
        <v>42309</v>
      </c>
      <c r="G136" s="7" t="s">
        <v>178</v>
      </c>
      <c r="H136" s="7" t="s">
        <v>181</v>
      </c>
      <c r="I136" s="7" t="s">
        <v>222</v>
      </c>
    </row>
    <row r="137" spans="1:9" ht="19.95" hidden="1" customHeight="1" x14ac:dyDescent="0.3">
      <c r="A137" s="7" t="s">
        <v>81</v>
      </c>
      <c r="B137" s="7" t="s">
        <v>165</v>
      </c>
      <c r="C137" s="7" t="s">
        <v>170</v>
      </c>
      <c r="D137" s="7" t="s">
        <v>174</v>
      </c>
      <c r="E137" s="7">
        <v>56512</v>
      </c>
      <c r="F137" s="8">
        <v>42512</v>
      </c>
      <c r="G137" s="7" t="s">
        <v>178</v>
      </c>
      <c r="H137" s="7" t="s">
        <v>179</v>
      </c>
      <c r="I137" s="7" t="s">
        <v>190</v>
      </c>
    </row>
    <row r="138" spans="1:9" ht="19.95" hidden="1" customHeight="1" x14ac:dyDescent="0.3">
      <c r="A138" s="7" t="s">
        <v>83</v>
      </c>
      <c r="B138" s="7" t="s">
        <v>163</v>
      </c>
      <c r="C138" s="7" t="s">
        <v>178</v>
      </c>
      <c r="D138" s="7" t="s">
        <v>172</v>
      </c>
      <c r="E138" s="7">
        <v>41243</v>
      </c>
      <c r="F138" s="8">
        <v>42526</v>
      </c>
      <c r="G138" s="7" t="s">
        <v>178</v>
      </c>
      <c r="H138" s="7" t="s">
        <v>178</v>
      </c>
      <c r="I138" s="7" t="s">
        <v>211</v>
      </c>
    </row>
    <row r="139" spans="1:9" ht="19.95" hidden="1" customHeight="1" x14ac:dyDescent="0.3">
      <c r="A139" s="7" t="s">
        <v>89</v>
      </c>
      <c r="B139" s="7" t="s">
        <v>159</v>
      </c>
      <c r="C139" s="7" t="s">
        <v>170</v>
      </c>
      <c r="D139" s="7" t="s">
        <v>174</v>
      </c>
      <c r="E139" s="7" t="s">
        <v>178</v>
      </c>
      <c r="F139" s="7" t="s">
        <v>178</v>
      </c>
      <c r="G139" s="7" t="s">
        <v>178</v>
      </c>
      <c r="H139" s="7" t="s">
        <v>178</v>
      </c>
      <c r="I139" s="7" t="s">
        <v>208</v>
      </c>
    </row>
    <row r="140" spans="1:9" ht="19.95" hidden="1" customHeight="1" x14ac:dyDescent="0.3">
      <c r="A140" s="7" t="s">
        <v>92</v>
      </c>
      <c r="B140" s="7" t="s">
        <v>163</v>
      </c>
      <c r="C140" s="7" t="s">
        <v>168</v>
      </c>
      <c r="D140" s="7" t="s">
        <v>174</v>
      </c>
      <c r="E140" s="7">
        <v>99621</v>
      </c>
      <c r="F140" s="8">
        <v>42589</v>
      </c>
      <c r="G140" s="7" t="s">
        <v>178</v>
      </c>
      <c r="H140" s="7" t="s">
        <v>179</v>
      </c>
      <c r="I140" s="7" t="s">
        <v>248</v>
      </c>
    </row>
    <row r="141" spans="1:9" ht="19.95" hidden="1" customHeight="1" x14ac:dyDescent="0.3">
      <c r="A141" s="7" t="s">
        <v>103</v>
      </c>
      <c r="B141" s="7" t="s">
        <v>165</v>
      </c>
      <c r="C141" s="7" t="s">
        <v>169</v>
      </c>
      <c r="D141" s="7" t="s">
        <v>174</v>
      </c>
      <c r="E141" s="7">
        <v>33264</v>
      </c>
      <c r="F141" s="8">
        <v>42666</v>
      </c>
      <c r="G141" s="7" t="s">
        <v>178</v>
      </c>
      <c r="H141" s="7" t="s">
        <v>181</v>
      </c>
      <c r="I141" s="7" t="s">
        <v>253</v>
      </c>
    </row>
    <row r="142" spans="1:9" ht="19.95" hidden="1" customHeight="1" x14ac:dyDescent="0.3">
      <c r="A142" s="7" t="s">
        <v>104</v>
      </c>
      <c r="B142" s="7" t="s">
        <v>160</v>
      </c>
      <c r="C142" s="7" t="s">
        <v>166</v>
      </c>
      <c r="D142" s="7" t="s">
        <v>176</v>
      </c>
      <c r="E142" s="7">
        <v>96101</v>
      </c>
      <c r="F142" s="8">
        <v>42673</v>
      </c>
      <c r="G142" s="7" t="s">
        <v>178</v>
      </c>
      <c r="H142" s="7" t="s">
        <v>179</v>
      </c>
      <c r="I142" s="7" t="s">
        <v>254</v>
      </c>
    </row>
    <row r="143" spans="1:9" ht="19.95" hidden="1" customHeight="1" x14ac:dyDescent="0.3">
      <c r="A143" s="7" t="s">
        <v>107</v>
      </c>
      <c r="B143" s="7" t="s">
        <v>165</v>
      </c>
      <c r="C143" s="7" t="s">
        <v>169</v>
      </c>
      <c r="D143" s="7" t="s">
        <v>176</v>
      </c>
      <c r="E143" s="7">
        <v>70470</v>
      </c>
      <c r="F143" s="8">
        <v>42694</v>
      </c>
      <c r="G143" s="7" t="s">
        <v>178</v>
      </c>
      <c r="H143" s="7" t="s">
        <v>180</v>
      </c>
      <c r="I143" s="7" t="s">
        <v>257</v>
      </c>
    </row>
    <row r="144" spans="1:9" ht="19.95" hidden="1" customHeight="1" x14ac:dyDescent="0.3">
      <c r="A144" s="7" t="s">
        <v>110</v>
      </c>
      <c r="B144" s="7" t="s">
        <v>165</v>
      </c>
      <c r="C144" s="7" t="s">
        <v>169</v>
      </c>
      <c r="D144" s="7" t="s">
        <v>172</v>
      </c>
      <c r="E144" s="7">
        <v>66503</v>
      </c>
      <c r="F144" s="8">
        <v>42715</v>
      </c>
      <c r="G144" s="7" t="s">
        <v>178</v>
      </c>
      <c r="H144" s="7" t="s">
        <v>180</v>
      </c>
      <c r="I144" s="7" t="s">
        <v>200</v>
      </c>
    </row>
    <row r="145" spans="1:9" ht="19.95" hidden="1" customHeight="1" x14ac:dyDescent="0.3">
      <c r="A145" s="7" t="s">
        <v>111</v>
      </c>
      <c r="B145" s="7" t="s">
        <v>160</v>
      </c>
      <c r="C145" s="7" t="s">
        <v>167</v>
      </c>
      <c r="D145" s="7" t="s">
        <v>172</v>
      </c>
      <c r="E145" s="7">
        <v>42096</v>
      </c>
      <c r="F145" s="8">
        <v>42722</v>
      </c>
      <c r="G145" s="7" t="s">
        <v>178</v>
      </c>
      <c r="H145" s="7" t="s">
        <v>181</v>
      </c>
      <c r="I145" s="7" t="s">
        <v>260</v>
      </c>
    </row>
    <row r="146" spans="1:9" ht="19.95" hidden="1" customHeight="1" x14ac:dyDescent="0.3">
      <c r="A146" s="7" t="s">
        <v>115</v>
      </c>
      <c r="B146" s="7" t="s">
        <v>159</v>
      </c>
      <c r="C146" s="7" t="s">
        <v>169</v>
      </c>
      <c r="D146" s="7" t="s">
        <v>178</v>
      </c>
      <c r="E146" s="7">
        <v>48325</v>
      </c>
      <c r="F146" s="8">
        <v>42750</v>
      </c>
      <c r="G146" s="7" t="s">
        <v>178</v>
      </c>
      <c r="H146" s="7" t="s">
        <v>180</v>
      </c>
      <c r="I146" s="7" t="s">
        <v>261</v>
      </c>
    </row>
    <row r="147" spans="1:9" ht="19.95" hidden="1" customHeight="1" x14ac:dyDescent="0.3">
      <c r="A147" s="7" t="s">
        <v>121</v>
      </c>
      <c r="B147" s="7" t="s">
        <v>159</v>
      </c>
      <c r="C147" s="7" t="s">
        <v>166</v>
      </c>
      <c r="D147" s="7" t="s">
        <v>174</v>
      </c>
      <c r="E147" s="7">
        <v>78330</v>
      </c>
      <c r="F147" s="8">
        <v>42792</v>
      </c>
      <c r="G147" s="7" t="s">
        <v>178</v>
      </c>
      <c r="H147" s="7" t="s">
        <v>179</v>
      </c>
      <c r="I147" s="7" t="s">
        <v>258</v>
      </c>
    </row>
    <row r="148" spans="1:9" ht="19.95" hidden="1" customHeight="1" x14ac:dyDescent="0.3">
      <c r="A148" s="7" t="s">
        <v>128</v>
      </c>
      <c r="B148" s="7" t="s">
        <v>159</v>
      </c>
      <c r="C148" s="7" t="s">
        <v>168</v>
      </c>
      <c r="D148" s="7" t="s">
        <v>176</v>
      </c>
      <c r="E148" s="7">
        <v>44358</v>
      </c>
      <c r="F148" s="8">
        <v>42841</v>
      </c>
      <c r="G148" s="7" t="s">
        <v>178</v>
      </c>
      <c r="H148" s="7" t="s">
        <v>181</v>
      </c>
      <c r="I148" s="7" t="s">
        <v>200</v>
      </c>
    </row>
    <row r="149" spans="1:9" ht="19.95" hidden="1" customHeight="1" x14ac:dyDescent="0.3">
      <c r="A149" s="7" t="s">
        <v>138</v>
      </c>
      <c r="B149" s="7" t="s">
        <v>165</v>
      </c>
      <c r="C149" s="7" t="s">
        <v>178</v>
      </c>
      <c r="D149" s="7" t="s">
        <v>175</v>
      </c>
      <c r="E149" s="7">
        <v>62994</v>
      </c>
      <c r="F149" s="8">
        <v>42911</v>
      </c>
      <c r="G149" s="7" t="s">
        <v>178</v>
      </c>
      <c r="H149" s="7" t="s">
        <v>178</v>
      </c>
      <c r="I149" s="7" t="s">
        <v>221</v>
      </c>
    </row>
    <row r="150" spans="1:9" ht="19.95" hidden="1" customHeight="1" x14ac:dyDescent="0.3">
      <c r="A150" s="7" t="s">
        <v>146</v>
      </c>
      <c r="B150" s="7" t="s">
        <v>164</v>
      </c>
      <c r="C150" s="7" t="s">
        <v>167</v>
      </c>
      <c r="D150" s="7" t="s">
        <v>172</v>
      </c>
      <c r="E150" s="7">
        <v>84968</v>
      </c>
      <c r="F150" s="8">
        <v>42967</v>
      </c>
      <c r="G150" s="7" t="s">
        <v>178</v>
      </c>
      <c r="H150" s="7" t="s">
        <v>178</v>
      </c>
      <c r="I150" s="7" t="s">
        <v>276</v>
      </c>
    </row>
    <row r="151" spans="1:9" ht="19.95" hidden="1" customHeight="1" x14ac:dyDescent="0.3">
      <c r="A151" s="7" t="s">
        <v>152</v>
      </c>
      <c r="B151" s="7" t="s">
        <v>164</v>
      </c>
      <c r="C151" s="7" t="s">
        <v>168</v>
      </c>
      <c r="D151" s="7" t="s">
        <v>175</v>
      </c>
      <c r="E151" s="7">
        <v>91620</v>
      </c>
      <c r="F151" s="8">
        <v>43009</v>
      </c>
      <c r="G151" s="7" t="s">
        <v>178</v>
      </c>
      <c r="H151" s="7" t="s">
        <v>178</v>
      </c>
      <c r="I151" s="7" t="s">
        <v>277</v>
      </c>
    </row>
  </sheetData>
  <autoFilter ref="A1:I151" xr:uid="{1C8AF6BC-8EDD-4A45-92F2-C6F07EB0622A}">
    <filterColumn colId="6">
      <filters>
        <filter val="1"/>
        <filter val="2"/>
        <filter val="3"/>
        <filter val="4"/>
        <filter val="5"/>
      </filters>
    </filterColumn>
    <sortState xmlns:xlrd2="http://schemas.microsoft.com/office/spreadsheetml/2017/richdata2" ref="A2:I151">
      <sortCondition ref="G1:G151"/>
    </sortState>
  </autoFilter>
  <conditionalFormatting sqref="A1">
    <cfRule type="duplicateValues" dxfId="8" priority="1" stopIfTrue="1"/>
  </conditionalFormatting>
  <conditionalFormatting sqref="A1:I1">
    <cfRule type="containsText" dxfId="7" priority="2" operator="containsText" text="Unknown">
      <formula>NOT(ISERROR(SEARCH("Unknown",A1)))</formula>
    </cfRule>
    <cfRule type="containsText" dxfId="6" priority="3" operator="containsText" text="Unknown">
      <formula>NOT(ISERROR(SEARCH("Unknown",A1)))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50CC-0673-4699-BCEE-E4F47E10068B}">
  <sheetPr>
    <tabColor theme="8"/>
  </sheetPr>
  <dimension ref="A2:L20"/>
  <sheetViews>
    <sheetView workbookViewId="0">
      <selection activeCell="I23" sqref="I23"/>
    </sheetView>
  </sheetViews>
  <sheetFormatPr defaultRowHeight="14.4" x14ac:dyDescent="0.3"/>
  <cols>
    <col min="1" max="9" width="20.77734375" customWidth="1"/>
    <col min="11" max="11" width="119.21875" customWidth="1"/>
  </cols>
  <sheetData>
    <row r="2" spans="1:12" x14ac:dyDescent="0.3">
      <c r="A2" s="47" t="s">
        <v>388</v>
      </c>
      <c r="B2" s="48"/>
      <c r="C2" s="48"/>
      <c r="D2" s="48"/>
      <c r="E2" s="48"/>
      <c r="F2" s="48"/>
      <c r="G2" s="48"/>
      <c r="H2" s="48"/>
      <c r="I2" s="49"/>
    </row>
    <row r="3" spans="1:12" x14ac:dyDescent="0.3">
      <c r="A3" s="50"/>
      <c r="B3" s="51"/>
      <c r="C3" s="51"/>
      <c r="D3" s="51"/>
      <c r="E3" s="51"/>
      <c r="F3" s="51"/>
      <c r="G3" s="51"/>
      <c r="H3" s="51"/>
      <c r="I3" s="52"/>
    </row>
    <row r="4" spans="1:12" ht="19.95" customHeight="1" x14ac:dyDescent="0.3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K4" s="27" t="s">
        <v>395</v>
      </c>
    </row>
    <row r="5" spans="1:12" ht="19.95" customHeight="1" x14ac:dyDescent="0.3">
      <c r="A5" s="23" t="s">
        <v>20</v>
      </c>
      <c r="B5" s="23" t="s">
        <v>163</v>
      </c>
      <c r="C5" s="23" t="s">
        <v>169</v>
      </c>
      <c r="D5" s="23" t="s">
        <v>173</v>
      </c>
      <c r="E5" s="23">
        <v>91180</v>
      </c>
      <c r="F5" s="24">
        <v>42085</v>
      </c>
      <c r="G5" s="23">
        <v>5</v>
      </c>
      <c r="H5" s="23" t="s">
        <v>180</v>
      </c>
      <c r="I5" s="23" t="s">
        <v>192</v>
      </c>
      <c r="K5" s="27" t="s">
        <v>390</v>
      </c>
    </row>
    <row r="6" spans="1:12" ht="19.95" customHeight="1" x14ac:dyDescent="0.3">
      <c r="A6" s="23" t="s">
        <v>21</v>
      </c>
      <c r="B6" s="23" t="s">
        <v>165</v>
      </c>
      <c r="C6" s="23" t="s">
        <v>168</v>
      </c>
      <c r="D6" s="23" t="s">
        <v>178</v>
      </c>
      <c r="E6" s="23">
        <v>96418</v>
      </c>
      <c r="F6" s="24">
        <v>42092</v>
      </c>
      <c r="G6" s="23">
        <v>5</v>
      </c>
      <c r="H6" s="23" t="s">
        <v>180</v>
      </c>
      <c r="I6" s="23" t="s">
        <v>183</v>
      </c>
      <c r="K6" s="28" t="s">
        <v>391</v>
      </c>
    </row>
    <row r="7" spans="1:12" ht="19.95" customHeight="1" x14ac:dyDescent="0.3">
      <c r="A7" s="23" t="s">
        <v>28</v>
      </c>
      <c r="B7" s="23" t="s">
        <v>159</v>
      </c>
      <c r="C7" s="23" t="s">
        <v>178</v>
      </c>
      <c r="D7" s="23" t="s">
        <v>174</v>
      </c>
      <c r="E7" s="23">
        <v>67531</v>
      </c>
      <c r="F7" s="24">
        <v>42141</v>
      </c>
      <c r="G7" s="23">
        <v>5</v>
      </c>
      <c r="H7" s="23" t="s">
        <v>181</v>
      </c>
      <c r="I7" s="23" t="s">
        <v>199</v>
      </c>
      <c r="K7" s="28" t="s">
        <v>392</v>
      </c>
    </row>
    <row r="8" spans="1:12" ht="19.95" customHeight="1" x14ac:dyDescent="0.3">
      <c r="A8" s="23" t="s">
        <v>31</v>
      </c>
      <c r="B8" s="23" t="s">
        <v>159</v>
      </c>
      <c r="C8" s="23" t="s">
        <v>166</v>
      </c>
      <c r="D8" s="23" t="s">
        <v>174</v>
      </c>
      <c r="E8" s="23">
        <v>38333</v>
      </c>
      <c r="F8" s="24">
        <v>42162</v>
      </c>
      <c r="G8" s="23">
        <v>5</v>
      </c>
      <c r="H8" s="23" t="s">
        <v>178</v>
      </c>
      <c r="I8" s="23" t="s">
        <v>202</v>
      </c>
      <c r="K8" s="28" t="s">
        <v>393</v>
      </c>
      <c r="L8" s="29"/>
    </row>
    <row r="9" spans="1:12" ht="15.6" x14ac:dyDescent="0.3">
      <c r="A9" s="23" t="s">
        <v>38</v>
      </c>
      <c r="B9" s="23" t="s">
        <v>165</v>
      </c>
      <c r="C9" s="23" t="s">
        <v>170</v>
      </c>
      <c r="D9" s="23" t="s">
        <v>175</v>
      </c>
      <c r="E9" s="23">
        <v>92959</v>
      </c>
      <c r="F9" s="24">
        <v>42211</v>
      </c>
      <c r="G9" s="23">
        <v>5</v>
      </c>
      <c r="H9" s="23" t="s">
        <v>178</v>
      </c>
      <c r="I9" s="23" t="s">
        <v>209</v>
      </c>
      <c r="K9" s="28" t="s">
        <v>394</v>
      </c>
    </row>
    <row r="10" spans="1:12" ht="15.6" x14ac:dyDescent="0.3">
      <c r="A10" s="25"/>
      <c r="B10" s="25"/>
      <c r="C10" s="25"/>
      <c r="D10" s="25"/>
      <c r="E10" s="25"/>
      <c r="F10" s="26"/>
      <c r="G10" s="25"/>
      <c r="H10" s="25"/>
      <c r="I10" s="25"/>
      <c r="K10" s="28" t="s">
        <v>394</v>
      </c>
    </row>
    <row r="11" spans="1:12" x14ac:dyDescent="0.3">
      <c r="A11" s="25"/>
      <c r="B11" s="25"/>
      <c r="C11" s="25"/>
      <c r="D11" s="25"/>
      <c r="E11" s="25"/>
      <c r="F11" s="26"/>
      <c r="G11" s="25"/>
      <c r="H11" s="25"/>
      <c r="I11" s="25"/>
    </row>
    <row r="13" spans="1:12" x14ac:dyDescent="0.3">
      <c r="A13" s="47" t="s">
        <v>389</v>
      </c>
      <c r="B13" s="48"/>
      <c r="C13" s="48"/>
      <c r="D13" s="48"/>
      <c r="E13" s="48"/>
      <c r="F13" s="48"/>
      <c r="G13" s="48"/>
      <c r="H13" s="48"/>
      <c r="I13" s="49"/>
    </row>
    <row r="14" spans="1:12" x14ac:dyDescent="0.3">
      <c r="A14" s="50"/>
      <c r="B14" s="51"/>
      <c r="C14" s="51"/>
      <c r="D14" s="51"/>
      <c r="E14" s="51"/>
      <c r="F14" s="51"/>
      <c r="G14" s="51"/>
      <c r="H14" s="51"/>
      <c r="I14" s="52"/>
    </row>
    <row r="15" spans="1:12" ht="19.95" customHeight="1" x14ac:dyDescent="0.3">
      <c r="A15" s="15" t="s">
        <v>0</v>
      </c>
      <c r="B15" s="15" t="s">
        <v>1</v>
      </c>
      <c r="C15" s="15" t="s">
        <v>2</v>
      </c>
      <c r="D15" s="15" t="s">
        <v>3</v>
      </c>
      <c r="E15" s="15" t="s">
        <v>4</v>
      </c>
      <c r="F15" s="15" t="s">
        <v>5</v>
      </c>
      <c r="G15" s="15" t="s">
        <v>6</v>
      </c>
      <c r="H15" s="15" t="s">
        <v>7</v>
      </c>
      <c r="I15" s="15" t="s">
        <v>8</v>
      </c>
    </row>
    <row r="16" spans="1:12" ht="19.95" customHeight="1" x14ac:dyDescent="0.3">
      <c r="A16" s="23" t="s">
        <v>10</v>
      </c>
      <c r="B16" s="23" t="s">
        <v>159</v>
      </c>
      <c r="C16" s="23" t="s">
        <v>167</v>
      </c>
      <c r="D16" s="23" t="s">
        <v>172</v>
      </c>
      <c r="E16" s="23">
        <v>54255</v>
      </c>
      <c r="F16" s="24">
        <v>42015</v>
      </c>
      <c r="G16" s="23">
        <v>1</v>
      </c>
      <c r="H16" s="23" t="s">
        <v>179</v>
      </c>
      <c r="I16" s="23" t="s">
        <v>183</v>
      </c>
    </row>
    <row r="17" spans="1:9" ht="19.95" customHeight="1" x14ac:dyDescent="0.3">
      <c r="A17" s="23" t="s">
        <v>12</v>
      </c>
      <c r="B17" s="23" t="s">
        <v>161</v>
      </c>
      <c r="C17" s="23" t="s">
        <v>168</v>
      </c>
      <c r="D17" s="23" t="s">
        <v>173</v>
      </c>
      <c r="E17" s="23">
        <v>94406</v>
      </c>
      <c r="F17" s="24">
        <v>42029</v>
      </c>
      <c r="G17" s="23">
        <v>1</v>
      </c>
      <c r="H17" s="23" t="s">
        <v>180</v>
      </c>
      <c r="I17" s="23" t="s">
        <v>185</v>
      </c>
    </row>
    <row r="18" spans="1:9" ht="19.95" customHeight="1" x14ac:dyDescent="0.3">
      <c r="A18" s="23" t="s">
        <v>13</v>
      </c>
      <c r="B18" s="23" t="s">
        <v>162</v>
      </c>
      <c r="C18" s="23" t="s">
        <v>168</v>
      </c>
      <c r="D18" s="23" t="s">
        <v>172</v>
      </c>
      <c r="E18" s="23">
        <v>64120</v>
      </c>
      <c r="F18" s="24">
        <v>42036</v>
      </c>
      <c r="G18" s="23">
        <v>1</v>
      </c>
      <c r="H18" s="23" t="s">
        <v>180</v>
      </c>
      <c r="I18" s="23" t="s">
        <v>186</v>
      </c>
    </row>
    <row r="19" spans="1:9" ht="19.95" customHeight="1" x14ac:dyDescent="0.3">
      <c r="A19" s="23" t="s">
        <v>19</v>
      </c>
      <c r="B19" s="23" t="s">
        <v>163</v>
      </c>
      <c r="C19" s="23" t="s">
        <v>166</v>
      </c>
      <c r="D19" s="23" t="s">
        <v>175</v>
      </c>
      <c r="E19" s="23">
        <v>64247</v>
      </c>
      <c r="F19" s="24">
        <v>42078</v>
      </c>
      <c r="G19" s="23">
        <v>1</v>
      </c>
      <c r="H19" s="23" t="s">
        <v>181</v>
      </c>
      <c r="I19" s="23" t="s">
        <v>191</v>
      </c>
    </row>
    <row r="20" spans="1:9" ht="19.95" customHeight="1" x14ac:dyDescent="0.3">
      <c r="A20" s="23" t="s">
        <v>26</v>
      </c>
      <c r="B20" s="23" t="s">
        <v>162</v>
      </c>
      <c r="C20" s="23" t="s">
        <v>166</v>
      </c>
      <c r="D20" s="23" t="s">
        <v>176</v>
      </c>
      <c r="E20" s="23">
        <v>41341</v>
      </c>
      <c r="F20" s="24">
        <v>42127</v>
      </c>
      <c r="G20" s="23">
        <v>1</v>
      </c>
      <c r="H20" s="23" t="s">
        <v>179</v>
      </c>
      <c r="I20" s="23" t="s">
        <v>197</v>
      </c>
    </row>
  </sheetData>
  <mergeCells count="2">
    <mergeCell ref="A2:I3"/>
    <mergeCell ref="A13:I14"/>
  </mergeCells>
  <conditionalFormatting sqref="A4">
    <cfRule type="duplicateValues" dxfId="5" priority="1" stopIfTrue="1"/>
  </conditionalFormatting>
  <conditionalFormatting sqref="A15">
    <cfRule type="duplicateValues" dxfId="4" priority="4" stopIfTrue="1"/>
  </conditionalFormatting>
  <conditionalFormatting sqref="A4:I4">
    <cfRule type="containsText" dxfId="3" priority="2" operator="containsText" text="Unknown">
      <formula>NOT(ISERROR(SEARCH("Unknown",A4)))</formula>
    </cfRule>
    <cfRule type="containsText" dxfId="2" priority="3" operator="containsText" text="Unknown">
      <formula>NOT(ISERROR(SEARCH("Unknown",A4)))</formula>
    </cfRule>
  </conditionalFormatting>
  <conditionalFormatting sqref="A15:I15">
    <cfRule type="containsText" dxfId="1" priority="5" operator="containsText" text="Unknown">
      <formula>NOT(ISERROR(SEARCH("Unknown",A15)))</formula>
    </cfRule>
    <cfRule type="containsText" dxfId="0" priority="6" operator="containsText" text="Unknown">
      <formula>NOT(ISERROR(SEARCH("Unknown",A15)))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7BD8-726D-44B6-A71F-FB25F49C2F50}">
  <sheetPr>
    <tabColor rgb="FFFFC000"/>
  </sheetPr>
  <dimension ref="A1:P151"/>
  <sheetViews>
    <sheetView zoomScaleNormal="100" workbookViewId="0">
      <selection activeCell="J4" sqref="J4"/>
    </sheetView>
  </sheetViews>
  <sheetFormatPr defaultRowHeight="14.4" x14ac:dyDescent="0.3"/>
  <cols>
    <col min="1" max="16" width="20.77734375" customWidth="1"/>
  </cols>
  <sheetData>
    <row r="1" spans="1:16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396</v>
      </c>
      <c r="K1" s="9" t="s">
        <v>397</v>
      </c>
      <c r="L1" s="9" t="s">
        <v>398</v>
      </c>
      <c r="M1" s="9" t="s">
        <v>401</v>
      </c>
      <c r="N1" s="9" t="s">
        <v>399</v>
      </c>
      <c r="O1" s="9" t="s">
        <v>400</v>
      </c>
    </row>
    <row r="2" spans="1:16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30">
        <f ca="1">TODAY()</f>
        <v>46290</v>
      </c>
      <c r="K2" s="31">
        <f ca="1">NOW()</f>
        <v>46290.68278865741</v>
      </c>
      <c r="L2" s="7" t="str">
        <f>IF(ISNUMBER(F2),YEAR(F2),"Unknown")</f>
        <v>Unknown</v>
      </c>
      <c r="M2" s="7" t="str">
        <f>IF(ISNUMBER(F2),MONTH(F2),"Unknown")</f>
        <v>Unknown</v>
      </c>
      <c r="N2" s="7" t="str">
        <f>IF(ISNUMBER(F2),WEEKDAY(F2),"Unknown")</f>
        <v>Unknown</v>
      </c>
      <c r="O2" s="7" t="str">
        <f ca="1">IF(ISNUMBER(F2),DATEDIF(F2,TODAY(),"Y"),"Unknown")</f>
        <v>Unknown</v>
      </c>
      <c r="P2" s="7"/>
    </row>
    <row r="3" spans="1:16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/>
      <c r="K3" s="7"/>
      <c r="L3" s="7">
        <f t="shared" ref="L3:L66" si="0">IF(ISNUMBER(F3),YEAR(F3),"Unknown")</f>
        <v>2015</v>
      </c>
      <c r="M3" s="7">
        <f t="shared" ref="M3:M66" si="1">IF(ISNUMBER(F3),MONTH(F3),"Unknown")</f>
        <v>1</v>
      </c>
      <c r="N3" s="7">
        <f t="shared" ref="N3:N66" si="2">IF(ISNUMBER(F3),WEEKDAY(F3),"Unknown")</f>
        <v>1</v>
      </c>
      <c r="O3" s="7">
        <f ca="1">IF(ISNUMBER(F3),DATEDIF(F3,TODAY(),"Y"),"Unknown")</f>
        <v>11</v>
      </c>
      <c r="P3" s="7"/>
    </row>
    <row r="4" spans="1:16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/>
      <c r="K4" s="7"/>
      <c r="L4" s="7">
        <f t="shared" si="0"/>
        <v>2015</v>
      </c>
      <c r="M4" s="7">
        <f t="shared" si="1"/>
        <v>1</v>
      </c>
      <c r="N4" s="7">
        <f t="shared" si="2"/>
        <v>1</v>
      </c>
      <c r="O4" s="7">
        <f t="shared" ref="O4:O67" ca="1" si="3">IF(ISNUMBER(F4),DATEDIF(F4,TODAY(),"Y"),"Unknown")</f>
        <v>11</v>
      </c>
      <c r="P4" s="7"/>
    </row>
    <row r="5" spans="1:16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/>
      <c r="K5" s="7"/>
      <c r="L5" s="7">
        <f t="shared" si="0"/>
        <v>2015</v>
      </c>
      <c r="M5" s="7">
        <f t="shared" si="1"/>
        <v>1</v>
      </c>
      <c r="N5" s="7">
        <f t="shared" si="2"/>
        <v>1</v>
      </c>
      <c r="O5" s="7">
        <f t="shared" ca="1" si="3"/>
        <v>11</v>
      </c>
      <c r="P5" s="7"/>
    </row>
    <row r="6" spans="1:16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/>
      <c r="K6" s="7"/>
      <c r="L6" s="7">
        <f t="shared" si="0"/>
        <v>2015</v>
      </c>
      <c r="M6" s="7">
        <f t="shared" si="1"/>
        <v>2</v>
      </c>
      <c r="N6" s="7">
        <f t="shared" si="2"/>
        <v>1</v>
      </c>
      <c r="O6" s="7">
        <f t="shared" ca="1" si="3"/>
        <v>11</v>
      </c>
      <c r="P6" s="7"/>
    </row>
    <row r="7" spans="1:16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>
        <f t="shared" si="0"/>
        <v>2015</v>
      </c>
      <c r="M7" s="7">
        <f t="shared" si="1"/>
        <v>2</v>
      </c>
      <c r="N7" s="7">
        <f t="shared" si="2"/>
        <v>1</v>
      </c>
      <c r="O7" s="7">
        <f t="shared" ca="1" si="3"/>
        <v>11</v>
      </c>
      <c r="P7" s="7"/>
    </row>
    <row r="8" spans="1:16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>
        <f t="shared" si="0"/>
        <v>2015</v>
      </c>
      <c r="M8" s="7">
        <f t="shared" si="1"/>
        <v>2</v>
      </c>
      <c r="N8" s="7">
        <f t="shared" si="2"/>
        <v>1</v>
      </c>
      <c r="O8" s="7">
        <f t="shared" ca="1" si="3"/>
        <v>11</v>
      </c>
      <c r="P8" s="7"/>
    </row>
    <row r="9" spans="1:16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>
        <f t="shared" si="0"/>
        <v>2015</v>
      </c>
      <c r="M9" s="7">
        <f t="shared" si="1"/>
        <v>2</v>
      </c>
      <c r="N9" s="7">
        <f t="shared" si="2"/>
        <v>1</v>
      </c>
      <c r="O9" s="7">
        <f t="shared" ca="1" si="3"/>
        <v>11</v>
      </c>
      <c r="P9" s="7"/>
    </row>
    <row r="10" spans="1:16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>
        <f t="shared" si="0"/>
        <v>2015</v>
      </c>
      <c r="M10" s="7">
        <f t="shared" si="1"/>
        <v>3</v>
      </c>
      <c r="N10" s="7">
        <f t="shared" si="2"/>
        <v>1</v>
      </c>
      <c r="O10" s="7">
        <f t="shared" ca="1" si="3"/>
        <v>11</v>
      </c>
      <c r="P10" s="7"/>
    </row>
    <row r="11" spans="1:16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>
        <f t="shared" si="0"/>
        <v>2015</v>
      </c>
      <c r="M11" s="7">
        <f t="shared" si="1"/>
        <v>3</v>
      </c>
      <c r="N11" s="7">
        <f t="shared" si="2"/>
        <v>1</v>
      </c>
      <c r="O11" s="7">
        <f t="shared" ca="1" si="3"/>
        <v>11</v>
      </c>
      <c r="P11" s="7"/>
    </row>
    <row r="12" spans="1:16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>
        <f t="shared" si="0"/>
        <v>2015</v>
      </c>
      <c r="M12" s="7">
        <f t="shared" si="1"/>
        <v>3</v>
      </c>
      <c r="N12" s="7">
        <f t="shared" si="2"/>
        <v>1</v>
      </c>
      <c r="O12" s="7">
        <f t="shared" ca="1" si="3"/>
        <v>11</v>
      </c>
      <c r="P12" s="7"/>
    </row>
    <row r="13" spans="1:16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>
        <f t="shared" si="0"/>
        <v>2015</v>
      </c>
      <c r="M13" s="7">
        <f t="shared" si="1"/>
        <v>3</v>
      </c>
      <c r="N13" s="7">
        <f t="shared" si="2"/>
        <v>1</v>
      </c>
      <c r="O13" s="7">
        <f t="shared" ca="1" si="3"/>
        <v>11</v>
      </c>
      <c r="P13" s="7"/>
    </row>
    <row r="14" spans="1:16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>
        <f t="shared" si="0"/>
        <v>2015</v>
      </c>
      <c r="M14" s="7">
        <f t="shared" si="1"/>
        <v>3</v>
      </c>
      <c r="N14" s="7">
        <f t="shared" si="2"/>
        <v>1</v>
      </c>
      <c r="O14" s="7">
        <f t="shared" ca="1" si="3"/>
        <v>11</v>
      </c>
      <c r="P14" s="7"/>
    </row>
    <row r="15" spans="1:16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>
        <f t="shared" si="0"/>
        <v>2015</v>
      </c>
      <c r="M15" s="7">
        <f t="shared" si="1"/>
        <v>4</v>
      </c>
      <c r="N15" s="7">
        <f t="shared" si="2"/>
        <v>1</v>
      </c>
      <c r="O15" s="7">
        <f t="shared" ca="1" si="3"/>
        <v>11</v>
      </c>
      <c r="P15" s="7"/>
    </row>
    <row r="16" spans="1:16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>
        <f t="shared" si="0"/>
        <v>2015</v>
      </c>
      <c r="M16" s="7">
        <f t="shared" si="1"/>
        <v>4</v>
      </c>
      <c r="N16" s="7">
        <f t="shared" si="2"/>
        <v>1</v>
      </c>
      <c r="O16" s="7">
        <f t="shared" ca="1" si="3"/>
        <v>11</v>
      </c>
      <c r="P16" s="7"/>
    </row>
    <row r="17" spans="1:16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>
        <f t="shared" si="0"/>
        <v>2015</v>
      </c>
      <c r="M17" s="7">
        <f t="shared" si="1"/>
        <v>4</v>
      </c>
      <c r="N17" s="7">
        <f t="shared" si="2"/>
        <v>1</v>
      </c>
      <c r="O17" s="7">
        <f t="shared" ca="1" si="3"/>
        <v>11</v>
      </c>
      <c r="P17" s="7"/>
    </row>
    <row r="18" spans="1:16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>
        <f t="shared" si="0"/>
        <v>2015</v>
      </c>
      <c r="M18" s="7">
        <f t="shared" si="1"/>
        <v>4</v>
      </c>
      <c r="N18" s="7">
        <f t="shared" si="2"/>
        <v>1</v>
      </c>
      <c r="O18" s="7">
        <f t="shared" ca="1" si="3"/>
        <v>11</v>
      </c>
      <c r="P18" s="7"/>
    </row>
    <row r="19" spans="1:16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>
        <f t="shared" si="0"/>
        <v>2015</v>
      </c>
      <c r="M19" s="7">
        <f t="shared" si="1"/>
        <v>5</v>
      </c>
      <c r="N19" s="7">
        <f t="shared" si="2"/>
        <v>1</v>
      </c>
      <c r="O19" s="7">
        <f t="shared" ca="1" si="3"/>
        <v>11</v>
      </c>
      <c r="P19" s="7"/>
    </row>
    <row r="20" spans="1:16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>
        <f t="shared" si="0"/>
        <v>2015</v>
      </c>
      <c r="M20" s="7">
        <f t="shared" si="1"/>
        <v>5</v>
      </c>
      <c r="N20" s="7">
        <f t="shared" si="2"/>
        <v>1</v>
      </c>
      <c r="O20" s="7">
        <f t="shared" ca="1" si="3"/>
        <v>11</v>
      </c>
      <c r="P20" s="7"/>
    </row>
    <row r="21" spans="1:16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>
        <f t="shared" si="0"/>
        <v>2015</v>
      </c>
      <c r="M21" s="7">
        <f t="shared" si="1"/>
        <v>5</v>
      </c>
      <c r="N21" s="7">
        <f t="shared" si="2"/>
        <v>1</v>
      </c>
      <c r="O21" s="7">
        <f t="shared" ca="1" si="3"/>
        <v>11</v>
      </c>
      <c r="P21" s="7"/>
    </row>
    <row r="22" spans="1:16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>
        <f t="shared" si="0"/>
        <v>2015</v>
      </c>
      <c r="M22" s="7">
        <f t="shared" si="1"/>
        <v>5</v>
      </c>
      <c r="N22" s="7">
        <f t="shared" si="2"/>
        <v>1</v>
      </c>
      <c r="O22" s="7">
        <f t="shared" ca="1" si="3"/>
        <v>11</v>
      </c>
      <c r="P22" s="7"/>
    </row>
    <row r="23" spans="1:16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>
        <f t="shared" si="0"/>
        <v>2015</v>
      </c>
      <c r="M23" s="7">
        <f t="shared" si="1"/>
        <v>5</v>
      </c>
      <c r="N23" s="7">
        <f t="shared" si="2"/>
        <v>1</v>
      </c>
      <c r="O23" s="7">
        <f t="shared" ca="1" si="3"/>
        <v>11</v>
      </c>
      <c r="P23" s="7"/>
    </row>
    <row r="24" spans="1:16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>
        <f t="shared" si="0"/>
        <v>2015</v>
      </c>
      <c r="M24" s="7">
        <f t="shared" si="1"/>
        <v>6</v>
      </c>
      <c r="N24" s="7">
        <f t="shared" si="2"/>
        <v>1</v>
      </c>
      <c r="O24" s="7">
        <f t="shared" ca="1" si="3"/>
        <v>11</v>
      </c>
      <c r="P24" s="7"/>
    </row>
    <row r="25" spans="1:16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>
        <f t="shared" si="0"/>
        <v>2015</v>
      </c>
      <c r="M25" s="7">
        <f t="shared" si="1"/>
        <v>6</v>
      </c>
      <c r="N25" s="7">
        <f t="shared" si="2"/>
        <v>1</v>
      </c>
      <c r="O25" s="7">
        <f t="shared" ca="1" si="3"/>
        <v>11</v>
      </c>
      <c r="P25" s="7"/>
    </row>
    <row r="26" spans="1:16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>
        <f t="shared" si="0"/>
        <v>2015</v>
      </c>
      <c r="M26" s="7">
        <f t="shared" si="1"/>
        <v>6</v>
      </c>
      <c r="N26" s="7">
        <f t="shared" si="2"/>
        <v>1</v>
      </c>
      <c r="O26" s="7">
        <f t="shared" ca="1" si="3"/>
        <v>11</v>
      </c>
      <c r="P26" s="7"/>
    </row>
    <row r="27" spans="1:16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>
        <f t="shared" si="0"/>
        <v>2015</v>
      </c>
      <c r="M27" s="7">
        <f t="shared" si="1"/>
        <v>6</v>
      </c>
      <c r="N27" s="7">
        <f t="shared" si="2"/>
        <v>1</v>
      </c>
      <c r="O27" s="7">
        <f t="shared" ca="1" si="3"/>
        <v>11</v>
      </c>
      <c r="P27" s="7"/>
    </row>
    <row r="28" spans="1:16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>
        <f t="shared" si="0"/>
        <v>2015</v>
      </c>
      <c r="M28" s="7">
        <f t="shared" si="1"/>
        <v>7</v>
      </c>
      <c r="N28" s="7">
        <f t="shared" si="2"/>
        <v>1</v>
      </c>
      <c r="O28" s="7">
        <f t="shared" ca="1" si="3"/>
        <v>11</v>
      </c>
      <c r="P28" s="7"/>
    </row>
    <row r="29" spans="1:16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>
        <f t="shared" si="0"/>
        <v>2015</v>
      </c>
      <c r="M29" s="7">
        <f t="shared" si="1"/>
        <v>7</v>
      </c>
      <c r="N29" s="7">
        <f t="shared" si="2"/>
        <v>1</v>
      </c>
      <c r="O29" s="7">
        <f t="shared" ca="1" si="3"/>
        <v>11</v>
      </c>
      <c r="P29" s="7"/>
    </row>
    <row r="30" spans="1:16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>
        <f t="shared" si="0"/>
        <v>2015</v>
      </c>
      <c r="M30" s="7">
        <f t="shared" si="1"/>
        <v>7</v>
      </c>
      <c r="N30" s="7">
        <f t="shared" si="2"/>
        <v>1</v>
      </c>
      <c r="O30" s="7">
        <f t="shared" ca="1" si="3"/>
        <v>11</v>
      </c>
      <c r="P30" s="7"/>
    </row>
    <row r="31" spans="1:16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>
        <f t="shared" si="0"/>
        <v>2015</v>
      </c>
      <c r="M31" s="7">
        <f t="shared" si="1"/>
        <v>7</v>
      </c>
      <c r="N31" s="7">
        <f t="shared" si="2"/>
        <v>1</v>
      </c>
      <c r="O31" s="7">
        <f t="shared" ca="1" si="3"/>
        <v>11</v>
      </c>
      <c r="P31" s="7"/>
    </row>
    <row r="32" spans="1:16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 t="str">
        <f t="shared" si="0"/>
        <v>Unknown</v>
      </c>
      <c r="M32" s="7" t="str">
        <f t="shared" si="1"/>
        <v>Unknown</v>
      </c>
      <c r="N32" s="7" t="str">
        <f t="shared" si="2"/>
        <v>Unknown</v>
      </c>
      <c r="O32" s="7" t="str">
        <f t="shared" ca="1" si="3"/>
        <v>Unknown</v>
      </c>
      <c r="P32" s="7"/>
    </row>
    <row r="33" spans="1:16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>
        <f t="shared" si="0"/>
        <v>2015</v>
      </c>
      <c r="M33" s="7">
        <f t="shared" si="1"/>
        <v>8</v>
      </c>
      <c r="N33" s="7">
        <f t="shared" si="2"/>
        <v>1</v>
      </c>
      <c r="O33" s="7">
        <f t="shared" ca="1" si="3"/>
        <v>11</v>
      </c>
      <c r="P33" s="7"/>
    </row>
    <row r="34" spans="1:16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>
        <f t="shared" si="0"/>
        <v>2015</v>
      </c>
      <c r="M34" s="7">
        <f t="shared" si="1"/>
        <v>8</v>
      </c>
      <c r="N34" s="7">
        <f t="shared" si="2"/>
        <v>1</v>
      </c>
      <c r="O34" s="7">
        <f t="shared" ca="1" si="3"/>
        <v>11</v>
      </c>
      <c r="P34" s="7"/>
    </row>
    <row r="35" spans="1:16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>
        <f t="shared" si="0"/>
        <v>2015</v>
      </c>
      <c r="M35" s="7">
        <f t="shared" si="1"/>
        <v>8</v>
      </c>
      <c r="N35" s="7">
        <f t="shared" si="2"/>
        <v>1</v>
      </c>
      <c r="O35" s="7">
        <f t="shared" ca="1" si="3"/>
        <v>11</v>
      </c>
      <c r="P35" s="7"/>
    </row>
    <row r="36" spans="1:16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>
        <f t="shared" si="0"/>
        <v>2015</v>
      </c>
      <c r="M36" s="7">
        <f t="shared" si="1"/>
        <v>8</v>
      </c>
      <c r="N36" s="7">
        <f t="shared" si="2"/>
        <v>1</v>
      </c>
      <c r="O36" s="7">
        <f t="shared" ca="1" si="3"/>
        <v>11</v>
      </c>
      <c r="P36" s="7"/>
    </row>
    <row r="37" spans="1:16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>
        <f t="shared" si="0"/>
        <v>2015</v>
      </c>
      <c r="M37" s="7">
        <f t="shared" si="1"/>
        <v>9</v>
      </c>
      <c r="N37" s="7">
        <f t="shared" si="2"/>
        <v>1</v>
      </c>
      <c r="O37" s="7">
        <f t="shared" ca="1" si="3"/>
        <v>11</v>
      </c>
      <c r="P37" s="7"/>
    </row>
    <row r="38" spans="1:16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>
        <f t="shared" si="0"/>
        <v>2015</v>
      </c>
      <c r="M38" s="7">
        <f t="shared" si="1"/>
        <v>9</v>
      </c>
      <c r="N38" s="7">
        <f t="shared" si="2"/>
        <v>1</v>
      </c>
      <c r="O38" s="7">
        <f t="shared" ca="1" si="3"/>
        <v>11</v>
      </c>
      <c r="P38" s="7"/>
    </row>
    <row r="39" spans="1:16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>
        <f t="shared" si="0"/>
        <v>2015</v>
      </c>
      <c r="M39" s="7">
        <f t="shared" si="1"/>
        <v>9</v>
      </c>
      <c r="N39" s="7">
        <f t="shared" si="2"/>
        <v>1</v>
      </c>
      <c r="O39" s="7">
        <f t="shared" ca="1" si="3"/>
        <v>11</v>
      </c>
      <c r="P39" s="7"/>
    </row>
    <row r="40" spans="1:16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>
        <f t="shared" si="0"/>
        <v>2015</v>
      </c>
      <c r="M40" s="7">
        <f t="shared" si="1"/>
        <v>9</v>
      </c>
      <c r="N40" s="7">
        <f t="shared" si="2"/>
        <v>1</v>
      </c>
      <c r="O40" s="7">
        <f t="shared" ca="1" si="3"/>
        <v>10</v>
      </c>
      <c r="P40" s="7"/>
    </row>
    <row r="41" spans="1:16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>
        <f t="shared" si="0"/>
        <v>2015</v>
      </c>
      <c r="M41" s="7">
        <f t="shared" si="1"/>
        <v>10</v>
      </c>
      <c r="N41" s="7">
        <f t="shared" si="2"/>
        <v>1</v>
      </c>
      <c r="O41" s="7">
        <f t="shared" ca="1" si="3"/>
        <v>10</v>
      </c>
      <c r="P41" s="7"/>
    </row>
    <row r="42" spans="1:16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 t="str">
        <f t="shared" si="0"/>
        <v>Unknown</v>
      </c>
      <c r="M42" s="7" t="str">
        <f t="shared" si="1"/>
        <v>Unknown</v>
      </c>
      <c r="N42" s="7" t="str">
        <f t="shared" si="2"/>
        <v>Unknown</v>
      </c>
      <c r="O42" s="7" t="str">
        <f t="shared" ca="1" si="3"/>
        <v>Unknown</v>
      </c>
      <c r="P42" s="7"/>
    </row>
    <row r="43" spans="1:16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>
        <f t="shared" si="0"/>
        <v>2015</v>
      </c>
      <c r="M43" s="7">
        <f t="shared" si="1"/>
        <v>10</v>
      </c>
      <c r="N43" s="7">
        <f t="shared" si="2"/>
        <v>1</v>
      </c>
      <c r="O43" s="7">
        <f t="shared" ca="1" si="3"/>
        <v>10</v>
      </c>
      <c r="P43" s="7"/>
    </row>
    <row r="44" spans="1:16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>
        <f t="shared" si="0"/>
        <v>2015</v>
      </c>
      <c r="M44" s="7">
        <f t="shared" si="1"/>
        <v>10</v>
      </c>
      <c r="N44" s="7">
        <f t="shared" si="2"/>
        <v>1</v>
      </c>
      <c r="O44" s="7">
        <f t="shared" ca="1" si="3"/>
        <v>10</v>
      </c>
      <c r="P44" s="7"/>
    </row>
    <row r="45" spans="1:16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>
        <f t="shared" si="0"/>
        <v>2015</v>
      </c>
      <c r="M45" s="7">
        <f t="shared" si="1"/>
        <v>11</v>
      </c>
      <c r="N45" s="7">
        <f t="shared" si="2"/>
        <v>1</v>
      </c>
      <c r="O45" s="7">
        <f t="shared" ca="1" si="3"/>
        <v>10</v>
      </c>
      <c r="P45" s="7"/>
    </row>
    <row r="46" spans="1:16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>
        <f t="shared" si="0"/>
        <v>2015</v>
      </c>
      <c r="M46" s="7">
        <f t="shared" si="1"/>
        <v>11</v>
      </c>
      <c r="N46" s="7">
        <f t="shared" si="2"/>
        <v>1</v>
      </c>
      <c r="O46" s="7">
        <f t="shared" ca="1" si="3"/>
        <v>10</v>
      </c>
      <c r="P46" s="7"/>
    </row>
    <row r="47" spans="1:16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>
        <f t="shared" si="0"/>
        <v>2015</v>
      </c>
      <c r="M47" s="7">
        <f t="shared" si="1"/>
        <v>11</v>
      </c>
      <c r="N47" s="7">
        <f t="shared" si="2"/>
        <v>1</v>
      </c>
      <c r="O47" s="7">
        <f t="shared" ca="1" si="3"/>
        <v>10</v>
      </c>
      <c r="P47" s="7"/>
    </row>
    <row r="48" spans="1:16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>
        <f t="shared" si="0"/>
        <v>2015</v>
      </c>
      <c r="M48" s="7">
        <f t="shared" si="1"/>
        <v>11</v>
      </c>
      <c r="N48" s="7">
        <f t="shared" si="2"/>
        <v>1</v>
      </c>
      <c r="O48" s="7">
        <f t="shared" ca="1" si="3"/>
        <v>10</v>
      </c>
      <c r="P48" s="7"/>
    </row>
    <row r="49" spans="1:16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>
        <f t="shared" si="0"/>
        <v>2015</v>
      </c>
      <c r="M49" s="7">
        <f t="shared" si="1"/>
        <v>11</v>
      </c>
      <c r="N49" s="7">
        <f t="shared" si="2"/>
        <v>1</v>
      </c>
      <c r="O49" s="7">
        <f t="shared" ca="1" si="3"/>
        <v>10</v>
      </c>
      <c r="P49" s="7"/>
    </row>
    <row r="50" spans="1:16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>
        <f t="shared" si="0"/>
        <v>2015</v>
      </c>
      <c r="M50" s="7">
        <f t="shared" si="1"/>
        <v>12</v>
      </c>
      <c r="N50" s="7">
        <f t="shared" si="2"/>
        <v>1</v>
      </c>
      <c r="O50" s="7">
        <f t="shared" ca="1" si="3"/>
        <v>10</v>
      </c>
      <c r="P50" s="7"/>
    </row>
    <row r="51" spans="1:16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>
        <f t="shared" si="0"/>
        <v>2015</v>
      </c>
      <c r="M51" s="7">
        <f t="shared" si="1"/>
        <v>12</v>
      </c>
      <c r="N51" s="7">
        <f t="shared" si="2"/>
        <v>1</v>
      </c>
      <c r="O51" s="7">
        <f t="shared" ca="1" si="3"/>
        <v>10</v>
      </c>
      <c r="P51" s="7"/>
    </row>
    <row r="52" spans="1:16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 t="str">
        <f t="shared" si="0"/>
        <v>Unknown</v>
      </c>
      <c r="M52" s="7" t="str">
        <f t="shared" si="1"/>
        <v>Unknown</v>
      </c>
      <c r="N52" s="7" t="str">
        <f t="shared" si="2"/>
        <v>Unknown</v>
      </c>
      <c r="O52" s="7" t="str">
        <f t="shared" ca="1" si="3"/>
        <v>Unknown</v>
      </c>
      <c r="P52" s="7"/>
    </row>
    <row r="53" spans="1:16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>
        <f t="shared" si="0"/>
        <v>2015</v>
      </c>
      <c r="M53" s="7">
        <f t="shared" si="1"/>
        <v>12</v>
      </c>
      <c r="N53" s="7">
        <f t="shared" si="2"/>
        <v>1</v>
      </c>
      <c r="O53" s="7">
        <f t="shared" ca="1" si="3"/>
        <v>10</v>
      </c>
      <c r="P53" s="7"/>
    </row>
    <row r="54" spans="1:16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>
        <f t="shared" si="0"/>
        <v>2016</v>
      </c>
      <c r="M54" s="7">
        <f t="shared" si="1"/>
        <v>1</v>
      </c>
      <c r="N54" s="7">
        <f t="shared" si="2"/>
        <v>1</v>
      </c>
      <c r="O54" s="7">
        <f t="shared" ca="1" si="3"/>
        <v>10</v>
      </c>
      <c r="P54" s="7"/>
    </row>
    <row r="55" spans="1:16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>
        <f t="shared" si="0"/>
        <v>2016</v>
      </c>
      <c r="M55" s="7">
        <f t="shared" si="1"/>
        <v>1</v>
      </c>
      <c r="N55" s="7">
        <f t="shared" si="2"/>
        <v>1</v>
      </c>
      <c r="O55" s="7">
        <f t="shared" ca="1" si="3"/>
        <v>10</v>
      </c>
      <c r="P55" s="7"/>
    </row>
    <row r="56" spans="1:16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>
        <f t="shared" si="0"/>
        <v>2016</v>
      </c>
      <c r="M56" s="7">
        <f t="shared" si="1"/>
        <v>1</v>
      </c>
      <c r="N56" s="7">
        <f t="shared" si="2"/>
        <v>1</v>
      </c>
      <c r="O56" s="7">
        <f t="shared" ca="1" si="3"/>
        <v>10</v>
      </c>
      <c r="P56" s="7"/>
    </row>
    <row r="57" spans="1:16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>
        <f t="shared" si="0"/>
        <v>2016</v>
      </c>
      <c r="M57" s="7">
        <f t="shared" si="1"/>
        <v>1</v>
      </c>
      <c r="N57" s="7">
        <f t="shared" si="2"/>
        <v>1</v>
      </c>
      <c r="O57" s="7">
        <f t="shared" ca="1" si="3"/>
        <v>10</v>
      </c>
      <c r="P57" s="7"/>
    </row>
    <row r="58" spans="1:16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>
        <f t="shared" si="0"/>
        <v>2016</v>
      </c>
      <c r="M58" s="7">
        <f t="shared" si="1"/>
        <v>1</v>
      </c>
      <c r="N58" s="7">
        <f t="shared" si="2"/>
        <v>1</v>
      </c>
      <c r="O58" s="7">
        <f t="shared" ca="1" si="3"/>
        <v>10</v>
      </c>
      <c r="P58" s="7"/>
    </row>
    <row r="59" spans="1:16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>
        <f t="shared" si="0"/>
        <v>2016</v>
      </c>
      <c r="M59" s="7">
        <f t="shared" si="1"/>
        <v>2</v>
      </c>
      <c r="N59" s="7">
        <f t="shared" si="2"/>
        <v>1</v>
      </c>
      <c r="O59" s="7">
        <f t="shared" ca="1" si="3"/>
        <v>10</v>
      </c>
      <c r="P59" s="7"/>
    </row>
    <row r="60" spans="1:16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>
        <f t="shared" si="0"/>
        <v>2016</v>
      </c>
      <c r="M60" s="7">
        <f t="shared" si="1"/>
        <v>2</v>
      </c>
      <c r="N60" s="7">
        <f t="shared" si="2"/>
        <v>1</v>
      </c>
      <c r="O60" s="7">
        <f t="shared" ca="1" si="3"/>
        <v>10</v>
      </c>
      <c r="P60" s="7"/>
    </row>
    <row r="61" spans="1:16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>
        <f t="shared" si="0"/>
        <v>2016</v>
      </c>
      <c r="M61" s="7">
        <f t="shared" si="1"/>
        <v>2</v>
      </c>
      <c r="N61" s="7">
        <f t="shared" si="2"/>
        <v>1</v>
      </c>
      <c r="O61" s="7">
        <f t="shared" ca="1" si="3"/>
        <v>10</v>
      </c>
      <c r="P61" s="7"/>
    </row>
    <row r="62" spans="1:16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 t="str">
        <f t="shared" si="0"/>
        <v>Unknown</v>
      </c>
      <c r="M62" s="7" t="str">
        <f t="shared" si="1"/>
        <v>Unknown</v>
      </c>
      <c r="N62" s="7" t="str">
        <f t="shared" si="2"/>
        <v>Unknown</v>
      </c>
      <c r="O62" s="7" t="str">
        <f t="shared" ca="1" si="3"/>
        <v>Unknown</v>
      </c>
      <c r="P62" s="7"/>
    </row>
    <row r="63" spans="1:16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>
        <f t="shared" si="0"/>
        <v>2016</v>
      </c>
      <c r="M63" s="7">
        <f t="shared" si="1"/>
        <v>3</v>
      </c>
      <c r="N63" s="7">
        <f t="shared" si="2"/>
        <v>1</v>
      </c>
      <c r="O63" s="7">
        <f t="shared" ca="1" si="3"/>
        <v>10</v>
      </c>
      <c r="P63" s="7"/>
    </row>
    <row r="64" spans="1:16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>
        <f t="shared" si="0"/>
        <v>2016</v>
      </c>
      <c r="M64" s="7">
        <f t="shared" si="1"/>
        <v>3</v>
      </c>
      <c r="N64" s="7">
        <f t="shared" si="2"/>
        <v>1</v>
      </c>
      <c r="O64" s="7">
        <f t="shared" ca="1" si="3"/>
        <v>10</v>
      </c>
      <c r="P64" s="7"/>
    </row>
    <row r="65" spans="1:16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>
        <f t="shared" si="0"/>
        <v>2016</v>
      </c>
      <c r="M65" s="7">
        <f t="shared" si="1"/>
        <v>3</v>
      </c>
      <c r="N65" s="7">
        <f t="shared" si="2"/>
        <v>1</v>
      </c>
      <c r="O65" s="7">
        <f t="shared" ca="1" si="3"/>
        <v>10</v>
      </c>
      <c r="P65" s="7"/>
    </row>
    <row r="66" spans="1:16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>
        <f t="shared" si="0"/>
        <v>2016</v>
      </c>
      <c r="M66" s="7">
        <f t="shared" si="1"/>
        <v>3</v>
      </c>
      <c r="N66" s="7">
        <f t="shared" si="2"/>
        <v>1</v>
      </c>
      <c r="O66" s="7">
        <f t="shared" ca="1" si="3"/>
        <v>10</v>
      </c>
      <c r="P66" s="7"/>
    </row>
    <row r="67" spans="1:16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>
        <f t="shared" ref="L67:L130" si="4">IF(ISNUMBER(F67),YEAR(F67),"Unknown")</f>
        <v>2016</v>
      </c>
      <c r="M67" s="7">
        <f t="shared" ref="M67:M130" si="5">IF(ISNUMBER(F67),MONTH(F67),"Unknown")</f>
        <v>4</v>
      </c>
      <c r="N67" s="7">
        <f t="shared" ref="N67:N130" si="6">IF(ISNUMBER(F67),WEEKDAY(F67),"Unknown")</f>
        <v>1</v>
      </c>
      <c r="O67" s="7">
        <f t="shared" ca="1" si="3"/>
        <v>10</v>
      </c>
      <c r="P67" s="7"/>
    </row>
    <row r="68" spans="1:16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>
        <f t="shared" si="4"/>
        <v>2016</v>
      </c>
      <c r="M68" s="7">
        <f t="shared" si="5"/>
        <v>4</v>
      </c>
      <c r="N68" s="7">
        <f t="shared" si="6"/>
        <v>1</v>
      </c>
      <c r="O68" s="7">
        <f t="shared" ref="O68:O131" ca="1" si="7">IF(ISNUMBER(F68),DATEDIF(F68,TODAY(),"Y"),"Unknown")</f>
        <v>10</v>
      </c>
      <c r="P68" s="7"/>
    </row>
    <row r="69" spans="1:16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>
        <f t="shared" si="4"/>
        <v>2016</v>
      </c>
      <c r="M69" s="7">
        <f t="shared" si="5"/>
        <v>4</v>
      </c>
      <c r="N69" s="7">
        <f t="shared" si="6"/>
        <v>1</v>
      </c>
      <c r="O69" s="7">
        <f t="shared" ca="1" si="7"/>
        <v>10</v>
      </c>
      <c r="P69" s="7"/>
    </row>
    <row r="70" spans="1:16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>
        <f t="shared" si="4"/>
        <v>2016</v>
      </c>
      <c r="M70" s="7">
        <f t="shared" si="5"/>
        <v>4</v>
      </c>
      <c r="N70" s="7">
        <f t="shared" si="6"/>
        <v>1</v>
      </c>
      <c r="O70" s="7">
        <f t="shared" ca="1" si="7"/>
        <v>10</v>
      </c>
      <c r="P70" s="7"/>
    </row>
    <row r="71" spans="1:16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>
        <f t="shared" si="4"/>
        <v>2016</v>
      </c>
      <c r="M71" s="7">
        <f t="shared" si="5"/>
        <v>5</v>
      </c>
      <c r="N71" s="7">
        <f t="shared" si="6"/>
        <v>1</v>
      </c>
      <c r="O71" s="7">
        <f t="shared" ca="1" si="7"/>
        <v>10</v>
      </c>
      <c r="P71" s="7"/>
    </row>
    <row r="72" spans="1:16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>
        <f t="shared" si="4"/>
        <v>2016</v>
      </c>
      <c r="M72" s="7">
        <f t="shared" si="5"/>
        <v>5</v>
      </c>
      <c r="N72" s="7">
        <f t="shared" si="6"/>
        <v>1</v>
      </c>
      <c r="O72" s="7">
        <f t="shared" ca="1" si="7"/>
        <v>10</v>
      </c>
      <c r="P72" s="7"/>
    </row>
    <row r="73" spans="1:16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>
        <f t="shared" si="4"/>
        <v>2016</v>
      </c>
      <c r="M73" s="7">
        <f t="shared" si="5"/>
        <v>5</v>
      </c>
      <c r="N73" s="7">
        <f t="shared" si="6"/>
        <v>1</v>
      </c>
      <c r="O73" s="7">
        <f t="shared" ca="1" si="7"/>
        <v>10</v>
      </c>
      <c r="P73" s="7"/>
    </row>
    <row r="74" spans="1:16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>
        <f t="shared" si="4"/>
        <v>2016</v>
      </c>
      <c r="M74" s="7">
        <f t="shared" si="5"/>
        <v>5</v>
      </c>
      <c r="N74" s="7">
        <f t="shared" si="6"/>
        <v>1</v>
      </c>
      <c r="O74" s="7">
        <f t="shared" ca="1" si="7"/>
        <v>10</v>
      </c>
      <c r="P74" s="7"/>
    </row>
    <row r="75" spans="1:16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>
        <f t="shared" si="4"/>
        <v>2016</v>
      </c>
      <c r="M75" s="7">
        <f t="shared" si="5"/>
        <v>5</v>
      </c>
      <c r="N75" s="7">
        <f t="shared" si="6"/>
        <v>1</v>
      </c>
      <c r="O75" s="7">
        <f t="shared" ca="1" si="7"/>
        <v>10</v>
      </c>
      <c r="P75" s="7"/>
    </row>
    <row r="76" spans="1:16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>
        <f t="shared" si="4"/>
        <v>2016</v>
      </c>
      <c r="M76" s="7">
        <f t="shared" si="5"/>
        <v>6</v>
      </c>
      <c r="N76" s="7">
        <f t="shared" si="6"/>
        <v>1</v>
      </c>
      <c r="O76" s="7">
        <f t="shared" ca="1" si="7"/>
        <v>10</v>
      </c>
      <c r="P76" s="7"/>
    </row>
    <row r="77" spans="1:16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>
        <f t="shared" si="4"/>
        <v>2016</v>
      </c>
      <c r="M77" s="7">
        <f t="shared" si="5"/>
        <v>6</v>
      </c>
      <c r="N77" s="7">
        <f t="shared" si="6"/>
        <v>1</v>
      </c>
      <c r="O77" s="7">
        <f t="shared" ca="1" si="7"/>
        <v>10</v>
      </c>
      <c r="P77" s="7"/>
    </row>
    <row r="78" spans="1:16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>
        <f t="shared" si="4"/>
        <v>2016</v>
      </c>
      <c r="M78" s="7">
        <f t="shared" si="5"/>
        <v>6</v>
      </c>
      <c r="N78" s="7">
        <f t="shared" si="6"/>
        <v>1</v>
      </c>
      <c r="O78" s="7">
        <f t="shared" ca="1" si="7"/>
        <v>10</v>
      </c>
      <c r="P78" s="7"/>
    </row>
    <row r="79" spans="1:16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>
        <f t="shared" si="4"/>
        <v>2016</v>
      </c>
      <c r="M79" s="7">
        <f t="shared" si="5"/>
        <v>6</v>
      </c>
      <c r="N79" s="7">
        <f t="shared" si="6"/>
        <v>1</v>
      </c>
      <c r="O79" s="7">
        <f t="shared" ca="1" si="7"/>
        <v>10</v>
      </c>
      <c r="P79" s="7"/>
    </row>
    <row r="80" spans="1:16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>
        <f t="shared" si="4"/>
        <v>2016</v>
      </c>
      <c r="M80" s="7">
        <f t="shared" si="5"/>
        <v>7</v>
      </c>
      <c r="N80" s="7">
        <f t="shared" si="6"/>
        <v>1</v>
      </c>
      <c r="O80" s="7">
        <f t="shared" ca="1" si="7"/>
        <v>10</v>
      </c>
      <c r="P80" s="7"/>
    </row>
    <row r="81" spans="1:16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>
        <f t="shared" si="4"/>
        <v>2016</v>
      </c>
      <c r="M81" s="7">
        <f t="shared" si="5"/>
        <v>7</v>
      </c>
      <c r="N81" s="7">
        <f t="shared" si="6"/>
        <v>1</v>
      </c>
      <c r="O81" s="7">
        <f t="shared" ca="1" si="7"/>
        <v>10</v>
      </c>
      <c r="P81" s="7"/>
    </row>
    <row r="82" spans="1:16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 t="str">
        <f t="shared" si="4"/>
        <v>Unknown</v>
      </c>
      <c r="M82" s="7" t="str">
        <f t="shared" si="5"/>
        <v>Unknown</v>
      </c>
      <c r="N82" s="7" t="str">
        <f t="shared" si="6"/>
        <v>Unknown</v>
      </c>
      <c r="O82" s="7" t="str">
        <f t="shared" ca="1" si="7"/>
        <v>Unknown</v>
      </c>
      <c r="P82" s="7"/>
    </row>
    <row r="83" spans="1:16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>
        <f t="shared" si="4"/>
        <v>2016</v>
      </c>
      <c r="M83" s="7">
        <f t="shared" si="5"/>
        <v>7</v>
      </c>
      <c r="N83" s="7">
        <f t="shared" si="6"/>
        <v>1</v>
      </c>
      <c r="O83" s="7">
        <f t="shared" ca="1" si="7"/>
        <v>10</v>
      </c>
      <c r="P83" s="7"/>
    </row>
    <row r="84" spans="1:16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>
        <f t="shared" si="4"/>
        <v>2016</v>
      </c>
      <c r="M84" s="7">
        <f t="shared" si="5"/>
        <v>7</v>
      </c>
      <c r="N84" s="7">
        <f t="shared" si="6"/>
        <v>1</v>
      </c>
      <c r="O84" s="7">
        <f t="shared" ca="1" si="7"/>
        <v>10</v>
      </c>
      <c r="P84" s="7"/>
    </row>
    <row r="85" spans="1:16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>
        <f t="shared" si="4"/>
        <v>2016</v>
      </c>
      <c r="M85" s="7">
        <f t="shared" si="5"/>
        <v>8</v>
      </c>
      <c r="N85" s="7">
        <f t="shared" si="6"/>
        <v>1</v>
      </c>
      <c r="O85" s="7">
        <f t="shared" ca="1" si="7"/>
        <v>10</v>
      </c>
      <c r="P85" s="7"/>
    </row>
    <row r="86" spans="1:16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>
        <f t="shared" si="4"/>
        <v>2016</v>
      </c>
      <c r="M86" s="7">
        <f t="shared" si="5"/>
        <v>8</v>
      </c>
      <c r="N86" s="7">
        <f t="shared" si="6"/>
        <v>1</v>
      </c>
      <c r="O86" s="7">
        <f t="shared" ca="1" si="7"/>
        <v>10</v>
      </c>
      <c r="P86" s="7"/>
    </row>
    <row r="87" spans="1:16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>
        <f t="shared" si="4"/>
        <v>2016</v>
      </c>
      <c r="M87" s="7">
        <f t="shared" si="5"/>
        <v>8</v>
      </c>
      <c r="N87" s="7">
        <f t="shared" si="6"/>
        <v>1</v>
      </c>
      <c r="O87" s="7">
        <f t="shared" ca="1" si="7"/>
        <v>10</v>
      </c>
      <c r="P87" s="7"/>
    </row>
    <row r="88" spans="1:16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>
        <f t="shared" si="4"/>
        <v>2016</v>
      </c>
      <c r="M88" s="7">
        <f t="shared" si="5"/>
        <v>8</v>
      </c>
      <c r="N88" s="7">
        <f t="shared" si="6"/>
        <v>1</v>
      </c>
      <c r="O88" s="7">
        <f t="shared" ca="1" si="7"/>
        <v>10</v>
      </c>
      <c r="P88" s="7"/>
    </row>
    <row r="89" spans="1:16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>
        <f t="shared" si="4"/>
        <v>2016</v>
      </c>
      <c r="M89" s="7">
        <f t="shared" si="5"/>
        <v>9</v>
      </c>
      <c r="N89" s="7">
        <f t="shared" si="6"/>
        <v>1</v>
      </c>
      <c r="O89" s="7">
        <f t="shared" ca="1" si="7"/>
        <v>10</v>
      </c>
      <c r="P89" s="7"/>
    </row>
    <row r="90" spans="1:16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>
        <f t="shared" si="4"/>
        <v>2016</v>
      </c>
      <c r="M90" s="7">
        <f t="shared" si="5"/>
        <v>9</v>
      </c>
      <c r="N90" s="7">
        <f t="shared" si="6"/>
        <v>1</v>
      </c>
      <c r="O90" s="7">
        <f t="shared" ca="1" si="7"/>
        <v>10</v>
      </c>
      <c r="P90" s="7"/>
    </row>
    <row r="91" spans="1:16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>
        <f t="shared" si="4"/>
        <v>2016</v>
      </c>
      <c r="M91" s="7">
        <f t="shared" si="5"/>
        <v>9</v>
      </c>
      <c r="N91" s="7">
        <f t="shared" si="6"/>
        <v>1</v>
      </c>
      <c r="O91" s="7">
        <f t="shared" ca="1" si="7"/>
        <v>10</v>
      </c>
      <c r="P91" s="7"/>
    </row>
    <row r="92" spans="1:16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>
        <f t="shared" si="4"/>
        <v>2016</v>
      </c>
      <c r="M92" s="7">
        <f t="shared" si="5"/>
        <v>9</v>
      </c>
      <c r="N92" s="7">
        <f t="shared" si="6"/>
        <v>1</v>
      </c>
      <c r="O92" s="7">
        <f t="shared" ca="1" si="7"/>
        <v>10</v>
      </c>
      <c r="P92" s="7"/>
    </row>
    <row r="93" spans="1:16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>
        <f t="shared" si="4"/>
        <v>2016</v>
      </c>
      <c r="M93" s="7">
        <f t="shared" si="5"/>
        <v>10</v>
      </c>
      <c r="N93" s="7">
        <f t="shared" si="6"/>
        <v>1</v>
      </c>
      <c r="O93" s="7">
        <f t="shared" ca="1" si="7"/>
        <v>9</v>
      </c>
      <c r="P93" s="7"/>
    </row>
    <row r="94" spans="1:16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>
        <f t="shared" si="4"/>
        <v>2016</v>
      </c>
      <c r="M94" s="7">
        <f t="shared" si="5"/>
        <v>10</v>
      </c>
      <c r="N94" s="7">
        <f t="shared" si="6"/>
        <v>1</v>
      </c>
      <c r="O94" s="7">
        <f t="shared" ca="1" si="7"/>
        <v>9</v>
      </c>
      <c r="P94" s="7"/>
    </row>
    <row r="95" spans="1:16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>
        <f t="shared" si="4"/>
        <v>2016</v>
      </c>
      <c r="M95" s="7">
        <f t="shared" si="5"/>
        <v>10</v>
      </c>
      <c r="N95" s="7">
        <f t="shared" si="6"/>
        <v>1</v>
      </c>
      <c r="O95" s="7">
        <f t="shared" ca="1" si="7"/>
        <v>9</v>
      </c>
      <c r="P95" s="7"/>
    </row>
    <row r="96" spans="1:16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>
        <f t="shared" si="4"/>
        <v>2016</v>
      </c>
      <c r="M96" s="7">
        <f t="shared" si="5"/>
        <v>10</v>
      </c>
      <c r="N96" s="7">
        <f t="shared" si="6"/>
        <v>1</v>
      </c>
      <c r="O96" s="7">
        <f t="shared" ca="1" si="7"/>
        <v>9</v>
      </c>
      <c r="P96" s="7"/>
    </row>
    <row r="97" spans="1:16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>
        <f t="shared" si="4"/>
        <v>2016</v>
      </c>
      <c r="M97" s="7">
        <f t="shared" si="5"/>
        <v>10</v>
      </c>
      <c r="N97" s="7">
        <f t="shared" si="6"/>
        <v>1</v>
      </c>
      <c r="O97" s="7">
        <f t="shared" ca="1" si="7"/>
        <v>9</v>
      </c>
      <c r="P97" s="7"/>
    </row>
    <row r="98" spans="1:16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>
        <f t="shared" si="4"/>
        <v>2016</v>
      </c>
      <c r="M98" s="7">
        <f t="shared" si="5"/>
        <v>11</v>
      </c>
      <c r="N98" s="7">
        <f t="shared" si="6"/>
        <v>1</v>
      </c>
      <c r="O98" s="7">
        <f t="shared" ca="1" si="7"/>
        <v>9</v>
      </c>
      <c r="P98" s="7"/>
    </row>
    <row r="99" spans="1:16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>
        <f t="shared" si="4"/>
        <v>2016</v>
      </c>
      <c r="M99" s="7">
        <f t="shared" si="5"/>
        <v>11</v>
      </c>
      <c r="N99" s="7">
        <f t="shared" si="6"/>
        <v>1</v>
      </c>
      <c r="O99" s="7">
        <f t="shared" ca="1" si="7"/>
        <v>9</v>
      </c>
      <c r="P99" s="7"/>
    </row>
    <row r="100" spans="1:16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>
        <f t="shared" si="4"/>
        <v>2016</v>
      </c>
      <c r="M100" s="7">
        <f t="shared" si="5"/>
        <v>11</v>
      </c>
      <c r="N100" s="7">
        <f t="shared" si="6"/>
        <v>1</v>
      </c>
      <c r="O100" s="7">
        <f t="shared" ca="1" si="7"/>
        <v>9</v>
      </c>
      <c r="P100" s="7"/>
    </row>
    <row r="101" spans="1:16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>
        <f t="shared" si="4"/>
        <v>2016</v>
      </c>
      <c r="M101" s="7">
        <f t="shared" si="5"/>
        <v>11</v>
      </c>
      <c r="N101" s="7">
        <f t="shared" si="6"/>
        <v>1</v>
      </c>
      <c r="O101" s="7">
        <f t="shared" ca="1" si="7"/>
        <v>9</v>
      </c>
      <c r="P101" s="7"/>
    </row>
    <row r="102" spans="1:16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>
        <f t="shared" si="4"/>
        <v>2016</v>
      </c>
      <c r="M102" s="7">
        <f t="shared" si="5"/>
        <v>12</v>
      </c>
      <c r="N102" s="7">
        <f t="shared" si="6"/>
        <v>1</v>
      </c>
      <c r="O102" s="7">
        <f t="shared" ca="1" si="7"/>
        <v>9</v>
      </c>
      <c r="P102" s="7"/>
    </row>
    <row r="103" spans="1:16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>
        <f t="shared" si="4"/>
        <v>2016</v>
      </c>
      <c r="M103" s="7">
        <f t="shared" si="5"/>
        <v>12</v>
      </c>
      <c r="N103" s="7">
        <f t="shared" si="6"/>
        <v>1</v>
      </c>
      <c r="O103" s="7">
        <f t="shared" ca="1" si="7"/>
        <v>9</v>
      </c>
      <c r="P103" s="7"/>
    </row>
    <row r="104" spans="1:16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>
        <f t="shared" si="4"/>
        <v>2016</v>
      </c>
      <c r="M104" s="7">
        <f t="shared" si="5"/>
        <v>12</v>
      </c>
      <c r="N104" s="7">
        <f t="shared" si="6"/>
        <v>1</v>
      </c>
      <c r="O104" s="7">
        <f t="shared" ca="1" si="7"/>
        <v>9</v>
      </c>
      <c r="P104" s="7"/>
    </row>
    <row r="105" spans="1:16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>
        <f t="shared" si="4"/>
        <v>2016</v>
      </c>
      <c r="M105" s="7">
        <f t="shared" si="5"/>
        <v>12</v>
      </c>
      <c r="N105" s="7">
        <f t="shared" si="6"/>
        <v>1</v>
      </c>
      <c r="O105" s="7">
        <f t="shared" ca="1" si="7"/>
        <v>9</v>
      </c>
      <c r="P105" s="7"/>
    </row>
    <row r="106" spans="1:16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>
        <f t="shared" si="4"/>
        <v>2017</v>
      </c>
      <c r="M106" s="7">
        <f t="shared" si="5"/>
        <v>1</v>
      </c>
      <c r="N106" s="7">
        <f t="shared" si="6"/>
        <v>1</v>
      </c>
      <c r="O106" s="7">
        <f t="shared" ca="1" si="7"/>
        <v>9</v>
      </c>
      <c r="P106" s="7"/>
    </row>
    <row r="107" spans="1:16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>
        <f t="shared" si="4"/>
        <v>2017</v>
      </c>
      <c r="M107" s="7">
        <f t="shared" si="5"/>
        <v>1</v>
      </c>
      <c r="N107" s="7">
        <f t="shared" si="6"/>
        <v>1</v>
      </c>
      <c r="O107" s="7">
        <f t="shared" ca="1" si="7"/>
        <v>9</v>
      </c>
      <c r="P107" s="7"/>
    </row>
    <row r="108" spans="1:16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>
        <f t="shared" si="4"/>
        <v>2017</v>
      </c>
      <c r="M108" s="7">
        <f t="shared" si="5"/>
        <v>1</v>
      </c>
      <c r="N108" s="7">
        <f t="shared" si="6"/>
        <v>1</v>
      </c>
      <c r="O108" s="7">
        <f t="shared" ca="1" si="7"/>
        <v>9</v>
      </c>
      <c r="P108" s="7"/>
    </row>
    <row r="109" spans="1:16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>
        <f t="shared" si="4"/>
        <v>2017</v>
      </c>
      <c r="M109" s="7">
        <f t="shared" si="5"/>
        <v>1</v>
      </c>
      <c r="N109" s="7">
        <f t="shared" si="6"/>
        <v>1</v>
      </c>
      <c r="O109" s="7">
        <f t="shared" ca="1" si="7"/>
        <v>9</v>
      </c>
      <c r="P109" s="7"/>
    </row>
    <row r="110" spans="1:16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>
        <f t="shared" si="4"/>
        <v>2017</v>
      </c>
      <c r="M110" s="7">
        <f t="shared" si="5"/>
        <v>1</v>
      </c>
      <c r="N110" s="7">
        <f t="shared" si="6"/>
        <v>1</v>
      </c>
      <c r="O110" s="7">
        <f t="shared" ca="1" si="7"/>
        <v>9</v>
      </c>
      <c r="P110" s="7"/>
    </row>
    <row r="111" spans="1:16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>
        <f t="shared" si="4"/>
        <v>2017</v>
      </c>
      <c r="M111" s="7">
        <f t="shared" si="5"/>
        <v>2</v>
      </c>
      <c r="N111" s="7">
        <f t="shared" si="6"/>
        <v>1</v>
      </c>
      <c r="O111" s="7">
        <f t="shared" ca="1" si="7"/>
        <v>9</v>
      </c>
      <c r="P111" s="7"/>
    </row>
    <row r="112" spans="1:16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 t="str">
        <f t="shared" si="4"/>
        <v>Unknown</v>
      </c>
      <c r="M112" s="7" t="str">
        <f t="shared" si="5"/>
        <v>Unknown</v>
      </c>
      <c r="N112" s="7" t="str">
        <f t="shared" si="6"/>
        <v>Unknown</v>
      </c>
      <c r="O112" s="7" t="str">
        <f t="shared" ca="1" si="7"/>
        <v>Unknown</v>
      </c>
      <c r="P112" s="7"/>
    </row>
    <row r="113" spans="1:16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>
        <f t="shared" si="4"/>
        <v>2017</v>
      </c>
      <c r="M113" s="7">
        <f t="shared" si="5"/>
        <v>2</v>
      </c>
      <c r="N113" s="7">
        <f t="shared" si="6"/>
        <v>1</v>
      </c>
      <c r="O113" s="7">
        <f t="shared" ca="1" si="7"/>
        <v>9</v>
      </c>
      <c r="P113" s="7"/>
    </row>
    <row r="114" spans="1:16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>
        <f t="shared" si="4"/>
        <v>2017</v>
      </c>
      <c r="M114" s="7">
        <f t="shared" si="5"/>
        <v>2</v>
      </c>
      <c r="N114" s="7">
        <f t="shared" si="6"/>
        <v>1</v>
      </c>
      <c r="O114" s="7">
        <f t="shared" ca="1" si="7"/>
        <v>9</v>
      </c>
      <c r="P114" s="7"/>
    </row>
    <row r="115" spans="1:16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>
        <f t="shared" si="4"/>
        <v>2017</v>
      </c>
      <c r="M115" s="7">
        <f t="shared" si="5"/>
        <v>3</v>
      </c>
      <c r="N115" s="7">
        <f t="shared" si="6"/>
        <v>1</v>
      </c>
      <c r="O115" s="7">
        <f t="shared" ca="1" si="7"/>
        <v>9</v>
      </c>
      <c r="P115" s="7"/>
    </row>
    <row r="116" spans="1:16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>
        <f t="shared" si="4"/>
        <v>2017</v>
      </c>
      <c r="M116" s="7">
        <f t="shared" si="5"/>
        <v>3</v>
      </c>
      <c r="N116" s="7">
        <f t="shared" si="6"/>
        <v>1</v>
      </c>
      <c r="O116" s="7">
        <f t="shared" ca="1" si="7"/>
        <v>9</v>
      </c>
      <c r="P116" s="7"/>
    </row>
    <row r="117" spans="1:16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>
        <f t="shared" si="4"/>
        <v>2017</v>
      </c>
      <c r="M117" s="7">
        <f t="shared" si="5"/>
        <v>3</v>
      </c>
      <c r="N117" s="7">
        <f t="shared" si="6"/>
        <v>1</v>
      </c>
      <c r="O117" s="7">
        <f t="shared" ca="1" si="7"/>
        <v>9</v>
      </c>
      <c r="P117" s="7"/>
    </row>
    <row r="118" spans="1:16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>
        <f t="shared" si="4"/>
        <v>2017</v>
      </c>
      <c r="M118" s="7">
        <f t="shared" si="5"/>
        <v>3</v>
      </c>
      <c r="N118" s="7">
        <f t="shared" si="6"/>
        <v>1</v>
      </c>
      <c r="O118" s="7">
        <f t="shared" ca="1" si="7"/>
        <v>9</v>
      </c>
      <c r="P118" s="7"/>
    </row>
    <row r="119" spans="1:16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>
        <f t="shared" si="4"/>
        <v>2017</v>
      </c>
      <c r="M119" s="7">
        <f t="shared" si="5"/>
        <v>4</v>
      </c>
      <c r="N119" s="7">
        <f t="shared" si="6"/>
        <v>1</v>
      </c>
      <c r="O119" s="7">
        <f t="shared" ca="1" si="7"/>
        <v>9</v>
      </c>
      <c r="P119" s="7"/>
    </row>
    <row r="120" spans="1:16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>
        <f t="shared" si="4"/>
        <v>2017</v>
      </c>
      <c r="M120" s="7">
        <f t="shared" si="5"/>
        <v>4</v>
      </c>
      <c r="N120" s="7">
        <f t="shared" si="6"/>
        <v>1</v>
      </c>
      <c r="O120" s="7">
        <f t="shared" ca="1" si="7"/>
        <v>9</v>
      </c>
      <c r="P120" s="7"/>
    </row>
    <row r="121" spans="1:16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>
        <f t="shared" si="4"/>
        <v>2017</v>
      </c>
      <c r="M121" s="7">
        <f t="shared" si="5"/>
        <v>4</v>
      </c>
      <c r="N121" s="7">
        <f t="shared" si="6"/>
        <v>1</v>
      </c>
      <c r="O121" s="7">
        <f t="shared" ca="1" si="7"/>
        <v>9</v>
      </c>
      <c r="P121" s="7"/>
    </row>
    <row r="122" spans="1:16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 t="str">
        <f t="shared" si="4"/>
        <v>Unknown</v>
      </c>
      <c r="M122" s="7" t="str">
        <f t="shared" si="5"/>
        <v>Unknown</v>
      </c>
      <c r="N122" s="7" t="str">
        <f t="shared" si="6"/>
        <v>Unknown</v>
      </c>
      <c r="O122" s="7" t="str">
        <f t="shared" ca="1" si="7"/>
        <v>Unknown</v>
      </c>
      <c r="P122" s="7"/>
    </row>
    <row r="123" spans="1:16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>
        <f t="shared" si="4"/>
        <v>2017</v>
      </c>
      <c r="M123" s="7">
        <f t="shared" si="5"/>
        <v>4</v>
      </c>
      <c r="N123" s="7">
        <f t="shared" si="6"/>
        <v>1</v>
      </c>
      <c r="O123" s="7">
        <f t="shared" ca="1" si="7"/>
        <v>9</v>
      </c>
      <c r="P123" s="7"/>
    </row>
    <row r="124" spans="1:16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>
        <f t="shared" si="4"/>
        <v>2017</v>
      </c>
      <c r="M124" s="7">
        <f t="shared" si="5"/>
        <v>5</v>
      </c>
      <c r="N124" s="7">
        <f t="shared" si="6"/>
        <v>1</v>
      </c>
      <c r="O124" s="7">
        <f t="shared" ca="1" si="7"/>
        <v>9</v>
      </c>
      <c r="P124" s="7"/>
    </row>
    <row r="125" spans="1:16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>
        <f t="shared" si="4"/>
        <v>2017</v>
      </c>
      <c r="M125" s="7">
        <f t="shared" si="5"/>
        <v>5</v>
      </c>
      <c r="N125" s="7">
        <f t="shared" si="6"/>
        <v>1</v>
      </c>
      <c r="O125" s="7">
        <f t="shared" ca="1" si="7"/>
        <v>9</v>
      </c>
      <c r="P125" s="7"/>
    </row>
    <row r="126" spans="1:16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>
        <f t="shared" si="4"/>
        <v>2017</v>
      </c>
      <c r="M126" s="7">
        <f t="shared" si="5"/>
        <v>5</v>
      </c>
      <c r="N126" s="7">
        <f t="shared" si="6"/>
        <v>1</v>
      </c>
      <c r="O126" s="7">
        <f t="shared" ca="1" si="7"/>
        <v>9</v>
      </c>
      <c r="P126" s="7"/>
    </row>
    <row r="127" spans="1:16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>
        <f t="shared" si="4"/>
        <v>2017</v>
      </c>
      <c r="M127" s="7">
        <f t="shared" si="5"/>
        <v>5</v>
      </c>
      <c r="N127" s="7">
        <f t="shared" si="6"/>
        <v>1</v>
      </c>
      <c r="O127" s="7">
        <f t="shared" ca="1" si="7"/>
        <v>9</v>
      </c>
      <c r="P127" s="7"/>
    </row>
    <row r="128" spans="1:16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>
        <f t="shared" si="4"/>
        <v>2017</v>
      </c>
      <c r="M128" s="7">
        <f t="shared" si="5"/>
        <v>6</v>
      </c>
      <c r="N128" s="7">
        <f t="shared" si="6"/>
        <v>1</v>
      </c>
      <c r="O128" s="7">
        <f t="shared" ca="1" si="7"/>
        <v>9</v>
      </c>
      <c r="P128" s="7"/>
    </row>
    <row r="129" spans="1:16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>
        <f t="shared" si="4"/>
        <v>2017</v>
      </c>
      <c r="M129" s="7">
        <f t="shared" si="5"/>
        <v>6</v>
      </c>
      <c r="N129" s="7">
        <f t="shared" si="6"/>
        <v>1</v>
      </c>
      <c r="O129" s="7">
        <f t="shared" ca="1" si="7"/>
        <v>9</v>
      </c>
      <c r="P129" s="7"/>
    </row>
    <row r="130" spans="1:16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>
        <f t="shared" si="4"/>
        <v>2017</v>
      </c>
      <c r="M130" s="7">
        <f t="shared" si="5"/>
        <v>6</v>
      </c>
      <c r="N130" s="7">
        <f t="shared" si="6"/>
        <v>1</v>
      </c>
      <c r="O130" s="7">
        <f t="shared" ca="1" si="7"/>
        <v>9</v>
      </c>
      <c r="P130" s="7"/>
    </row>
    <row r="131" spans="1:16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>
        <f t="shared" ref="L131:L151" si="8">IF(ISNUMBER(F131),YEAR(F131),"Unknown")</f>
        <v>2017</v>
      </c>
      <c r="M131" s="7">
        <f t="shared" ref="M131:M151" si="9">IF(ISNUMBER(F131),MONTH(F131),"Unknown")</f>
        <v>6</v>
      </c>
      <c r="N131" s="7">
        <f t="shared" ref="N131:N151" si="10">IF(ISNUMBER(F131),WEEKDAY(F131),"Unknown")</f>
        <v>1</v>
      </c>
      <c r="O131" s="7">
        <f t="shared" ca="1" si="7"/>
        <v>9</v>
      </c>
      <c r="P131" s="7"/>
    </row>
    <row r="132" spans="1:16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 t="str">
        <f t="shared" si="8"/>
        <v>Unknown</v>
      </c>
      <c r="M132" s="7" t="str">
        <f t="shared" si="9"/>
        <v>Unknown</v>
      </c>
      <c r="N132" s="7" t="str">
        <f t="shared" si="10"/>
        <v>Unknown</v>
      </c>
      <c r="O132" s="7" t="str">
        <f t="shared" ref="O132:O151" ca="1" si="11">IF(ISNUMBER(F132),DATEDIF(F132,TODAY(),"Y"),"Unknown")</f>
        <v>Unknown</v>
      </c>
      <c r="P132" s="7"/>
    </row>
    <row r="133" spans="1:16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>
        <f t="shared" si="8"/>
        <v>2017</v>
      </c>
      <c r="M133" s="7">
        <f t="shared" si="9"/>
        <v>7</v>
      </c>
      <c r="N133" s="7">
        <f t="shared" si="10"/>
        <v>1</v>
      </c>
      <c r="O133" s="7">
        <f t="shared" ca="1" si="11"/>
        <v>9</v>
      </c>
      <c r="P133" s="7"/>
    </row>
    <row r="134" spans="1:16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>
        <f t="shared" si="8"/>
        <v>2017</v>
      </c>
      <c r="M134" s="7">
        <f t="shared" si="9"/>
        <v>7</v>
      </c>
      <c r="N134" s="7">
        <f t="shared" si="10"/>
        <v>1</v>
      </c>
      <c r="O134" s="7">
        <f t="shared" ca="1" si="11"/>
        <v>9</v>
      </c>
      <c r="P134" s="7"/>
    </row>
    <row r="135" spans="1:16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>
        <f t="shared" si="8"/>
        <v>2017</v>
      </c>
      <c r="M135" s="7">
        <f t="shared" si="9"/>
        <v>7</v>
      </c>
      <c r="N135" s="7">
        <f t="shared" si="10"/>
        <v>1</v>
      </c>
      <c r="O135" s="7">
        <f t="shared" ca="1" si="11"/>
        <v>9</v>
      </c>
      <c r="P135" s="7"/>
    </row>
    <row r="136" spans="1:16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>
        <f t="shared" si="8"/>
        <v>2017</v>
      </c>
      <c r="M136" s="7">
        <f t="shared" si="9"/>
        <v>7</v>
      </c>
      <c r="N136" s="7">
        <f t="shared" si="10"/>
        <v>1</v>
      </c>
      <c r="O136" s="7">
        <f t="shared" ca="1" si="11"/>
        <v>9</v>
      </c>
      <c r="P136" s="7"/>
    </row>
    <row r="137" spans="1:16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>
        <f t="shared" si="8"/>
        <v>2017</v>
      </c>
      <c r="M137" s="7">
        <f t="shared" si="9"/>
        <v>8</v>
      </c>
      <c r="N137" s="7">
        <f t="shared" si="10"/>
        <v>1</v>
      </c>
      <c r="O137" s="7">
        <f t="shared" ca="1" si="11"/>
        <v>9</v>
      </c>
      <c r="P137" s="7"/>
    </row>
    <row r="138" spans="1:16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>
        <f t="shared" si="8"/>
        <v>2017</v>
      </c>
      <c r="M138" s="7">
        <f t="shared" si="9"/>
        <v>8</v>
      </c>
      <c r="N138" s="7">
        <f t="shared" si="10"/>
        <v>1</v>
      </c>
      <c r="O138" s="7">
        <f t="shared" ca="1" si="11"/>
        <v>9</v>
      </c>
      <c r="P138" s="7"/>
    </row>
    <row r="139" spans="1:16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>
        <f t="shared" si="8"/>
        <v>2017</v>
      </c>
      <c r="M139" s="7">
        <f t="shared" si="9"/>
        <v>8</v>
      </c>
      <c r="N139" s="7">
        <f t="shared" si="10"/>
        <v>1</v>
      </c>
      <c r="O139" s="7">
        <f t="shared" ca="1" si="11"/>
        <v>9</v>
      </c>
      <c r="P139" s="7"/>
    </row>
    <row r="140" spans="1:16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>
        <f t="shared" si="8"/>
        <v>2017</v>
      </c>
      <c r="M140" s="7">
        <f t="shared" si="9"/>
        <v>8</v>
      </c>
      <c r="N140" s="7">
        <f t="shared" si="10"/>
        <v>1</v>
      </c>
      <c r="O140" s="7">
        <f t="shared" ca="1" si="11"/>
        <v>9</v>
      </c>
      <c r="P140" s="7"/>
    </row>
    <row r="141" spans="1:16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>
        <f t="shared" si="8"/>
        <v>2017</v>
      </c>
      <c r="M141" s="7">
        <f t="shared" si="9"/>
        <v>9</v>
      </c>
      <c r="N141" s="7">
        <f t="shared" si="10"/>
        <v>1</v>
      </c>
      <c r="O141" s="7">
        <f t="shared" ca="1" si="11"/>
        <v>9</v>
      </c>
      <c r="P141" s="7"/>
    </row>
    <row r="142" spans="1:16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>
        <f t="shared" si="8"/>
        <v>2017</v>
      </c>
      <c r="M142" s="7">
        <f t="shared" si="9"/>
        <v>9</v>
      </c>
      <c r="N142" s="7">
        <f t="shared" si="10"/>
        <v>1</v>
      </c>
      <c r="O142" s="7">
        <f t="shared" ca="1" si="11"/>
        <v>9</v>
      </c>
      <c r="P142" s="7"/>
    </row>
    <row r="143" spans="1:16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>
        <f t="shared" si="8"/>
        <v>2017</v>
      </c>
      <c r="M143" s="7">
        <f t="shared" si="9"/>
        <v>9</v>
      </c>
      <c r="N143" s="7">
        <f t="shared" si="10"/>
        <v>1</v>
      </c>
      <c r="O143" s="7">
        <f t="shared" ca="1" si="11"/>
        <v>9</v>
      </c>
      <c r="P143" s="7"/>
    </row>
    <row r="144" spans="1:16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>
        <f t="shared" si="8"/>
        <v>2017</v>
      </c>
      <c r="M144" s="7">
        <f t="shared" si="9"/>
        <v>9</v>
      </c>
      <c r="N144" s="7">
        <f t="shared" si="10"/>
        <v>1</v>
      </c>
      <c r="O144" s="7">
        <f t="shared" ca="1" si="11"/>
        <v>9</v>
      </c>
      <c r="P144" s="7"/>
    </row>
    <row r="145" spans="1:16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>
        <f t="shared" si="8"/>
        <v>2017</v>
      </c>
      <c r="M145" s="7">
        <f t="shared" si="9"/>
        <v>10</v>
      </c>
      <c r="N145" s="7">
        <f t="shared" si="10"/>
        <v>1</v>
      </c>
      <c r="O145" s="7">
        <f t="shared" ca="1" si="11"/>
        <v>8</v>
      </c>
      <c r="P145" s="7"/>
    </row>
    <row r="146" spans="1:16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>
        <f t="shared" si="8"/>
        <v>2017</v>
      </c>
      <c r="M146" s="7">
        <f t="shared" si="9"/>
        <v>10</v>
      </c>
      <c r="N146" s="7">
        <f t="shared" si="10"/>
        <v>1</v>
      </c>
      <c r="O146" s="7">
        <f t="shared" ca="1" si="11"/>
        <v>8</v>
      </c>
      <c r="P146" s="7"/>
    </row>
    <row r="147" spans="1:16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>
        <f t="shared" si="8"/>
        <v>2017</v>
      </c>
      <c r="M147" s="7">
        <f t="shared" si="9"/>
        <v>10</v>
      </c>
      <c r="N147" s="7">
        <f t="shared" si="10"/>
        <v>1</v>
      </c>
      <c r="O147" s="7">
        <f t="shared" ca="1" si="11"/>
        <v>8</v>
      </c>
      <c r="P147" s="7"/>
    </row>
    <row r="148" spans="1:16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>
        <f t="shared" si="8"/>
        <v>2017</v>
      </c>
      <c r="M148" s="7">
        <f t="shared" si="9"/>
        <v>10</v>
      </c>
      <c r="N148" s="7">
        <f t="shared" si="10"/>
        <v>1</v>
      </c>
      <c r="O148" s="7">
        <f t="shared" ca="1" si="11"/>
        <v>8</v>
      </c>
      <c r="P148" s="7"/>
    </row>
    <row r="149" spans="1:16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>
        <f t="shared" si="8"/>
        <v>2017</v>
      </c>
      <c r="M149" s="7">
        <f t="shared" si="9"/>
        <v>10</v>
      </c>
      <c r="N149" s="7">
        <f t="shared" si="10"/>
        <v>1</v>
      </c>
      <c r="O149" s="7">
        <f t="shared" ca="1" si="11"/>
        <v>8</v>
      </c>
      <c r="P149" s="7"/>
    </row>
    <row r="150" spans="1:16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>
        <f t="shared" si="8"/>
        <v>2017</v>
      </c>
      <c r="M150" s="7">
        <f t="shared" si="9"/>
        <v>11</v>
      </c>
      <c r="N150" s="7">
        <f t="shared" si="10"/>
        <v>1</v>
      </c>
      <c r="O150" s="7">
        <f t="shared" ca="1" si="11"/>
        <v>8</v>
      </c>
      <c r="P150" s="7"/>
    </row>
    <row r="151" spans="1:16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>
        <f t="shared" si="8"/>
        <v>2017</v>
      </c>
      <c r="M151" s="7">
        <f t="shared" si="9"/>
        <v>11</v>
      </c>
      <c r="N151" s="7">
        <f t="shared" si="10"/>
        <v>1</v>
      </c>
      <c r="O151" s="7">
        <f t="shared" ca="1" si="11"/>
        <v>8</v>
      </c>
      <c r="P151" s="7"/>
    </row>
  </sheetData>
  <autoFilter ref="A1:I151" xr:uid="{09FA7BD8-726D-44B6-A71F-FB25F49C2F50}">
    <sortState xmlns:xlrd2="http://schemas.microsoft.com/office/spreadsheetml/2017/richdata2" ref="A2:I151">
      <sortCondition ref="A1:A151"/>
    </sortState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64F4-51BA-4F7C-B1AF-D59B121720B9}">
  <sheetPr>
    <tabColor theme="8"/>
  </sheetPr>
  <dimension ref="J4:K9"/>
  <sheetViews>
    <sheetView topLeftCell="B1" workbookViewId="0">
      <selection activeCell="L7" sqref="L7"/>
    </sheetView>
  </sheetViews>
  <sheetFormatPr defaultRowHeight="14.4" x14ac:dyDescent="0.3"/>
  <cols>
    <col min="2" max="9" width="8.88671875" customWidth="1"/>
    <col min="10" max="10" width="118.6640625" customWidth="1"/>
  </cols>
  <sheetData>
    <row r="4" spans="10:11" ht="15.6" x14ac:dyDescent="0.3">
      <c r="J4" s="4" t="s">
        <v>407</v>
      </c>
      <c r="K4" s="32"/>
    </row>
    <row r="5" spans="10:11" ht="15.6" x14ac:dyDescent="0.3">
      <c r="J5" s="4" t="s">
        <v>402</v>
      </c>
    </row>
    <row r="6" spans="10:11" ht="30" customHeight="1" x14ac:dyDescent="0.3">
      <c r="J6" s="33" t="s">
        <v>403</v>
      </c>
    </row>
    <row r="7" spans="10:11" ht="30" customHeight="1" x14ac:dyDescent="0.3">
      <c r="J7" s="33" t="s">
        <v>404</v>
      </c>
    </row>
    <row r="8" spans="10:11" ht="30" customHeight="1" x14ac:dyDescent="0.3">
      <c r="J8" s="33" t="s">
        <v>405</v>
      </c>
    </row>
    <row r="9" spans="10:11" ht="30" customHeight="1" x14ac:dyDescent="0.3">
      <c r="J9" s="33" t="s">
        <v>406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4977-5023-4D65-B7A0-26B5F4FF675D}">
  <sheetPr>
    <tabColor rgb="FFFFC000"/>
  </sheetPr>
  <dimension ref="A1:I151"/>
  <sheetViews>
    <sheetView workbookViewId="0">
      <selection activeCell="J3" sqref="J3"/>
    </sheetView>
  </sheetViews>
  <sheetFormatPr defaultRowHeight="14.4" x14ac:dyDescent="0.3"/>
  <cols>
    <col min="1" max="9" width="20.777343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37" t="s">
        <v>9</v>
      </c>
      <c r="B2" s="37" t="s">
        <v>178</v>
      </c>
      <c r="C2" s="37" t="s">
        <v>166</v>
      </c>
      <c r="D2" s="37" t="s">
        <v>178</v>
      </c>
      <c r="E2" s="37" t="s">
        <v>178</v>
      </c>
      <c r="F2" s="37" t="s">
        <v>178</v>
      </c>
      <c r="G2" s="37">
        <v>2</v>
      </c>
      <c r="H2" s="37" t="s">
        <v>178</v>
      </c>
      <c r="I2" s="37" t="s">
        <v>178</v>
      </c>
    </row>
    <row r="3" spans="1:9" ht="19.95" customHeight="1" x14ac:dyDescent="0.3">
      <c r="A3" s="37" t="s">
        <v>10</v>
      </c>
      <c r="B3" s="37" t="s">
        <v>159</v>
      </c>
      <c r="C3" s="37" t="s">
        <v>167</v>
      </c>
      <c r="D3" s="37" t="s">
        <v>172</v>
      </c>
      <c r="E3" s="37">
        <v>54255</v>
      </c>
      <c r="F3" s="40">
        <v>42015</v>
      </c>
      <c r="G3" s="37">
        <v>1</v>
      </c>
      <c r="H3" s="37" t="s">
        <v>179</v>
      </c>
      <c r="I3" s="37" t="s">
        <v>183</v>
      </c>
    </row>
    <row r="4" spans="1:9" ht="19.95" customHeight="1" x14ac:dyDescent="0.3">
      <c r="A4" s="37" t="s">
        <v>11</v>
      </c>
      <c r="B4" s="37" t="s">
        <v>160</v>
      </c>
      <c r="C4" s="37" t="s">
        <v>166</v>
      </c>
      <c r="D4" s="37" t="s">
        <v>172</v>
      </c>
      <c r="E4" s="37">
        <v>63184</v>
      </c>
      <c r="F4" s="40">
        <v>42022</v>
      </c>
      <c r="G4" s="37">
        <v>2</v>
      </c>
      <c r="H4" s="37" t="s">
        <v>178</v>
      </c>
      <c r="I4" s="37" t="s">
        <v>184</v>
      </c>
    </row>
    <row r="5" spans="1:9" ht="19.95" customHeight="1" x14ac:dyDescent="0.3">
      <c r="A5" s="37" t="s">
        <v>12</v>
      </c>
      <c r="B5" s="37" t="s">
        <v>161</v>
      </c>
      <c r="C5" s="37" t="s">
        <v>168</v>
      </c>
      <c r="D5" s="37" t="s">
        <v>173</v>
      </c>
      <c r="E5" s="37">
        <v>94406</v>
      </c>
      <c r="F5" s="40">
        <v>42029</v>
      </c>
      <c r="G5" s="37">
        <v>1</v>
      </c>
      <c r="H5" s="37" t="s">
        <v>180</v>
      </c>
      <c r="I5" s="37" t="s">
        <v>185</v>
      </c>
    </row>
    <row r="6" spans="1:9" ht="19.95" customHeight="1" x14ac:dyDescent="0.3">
      <c r="A6" s="37" t="s">
        <v>13</v>
      </c>
      <c r="B6" s="37" t="s">
        <v>162</v>
      </c>
      <c r="C6" s="37" t="s">
        <v>168</v>
      </c>
      <c r="D6" s="37" t="s">
        <v>172</v>
      </c>
      <c r="E6" s="37">
        <v>64120</v>
      </c>
      <c r="F6" s="40">
        <v>42036</v>
      </c>
      <c r="G6" s="37">
        <v>1</v>
      </c>
      <c r="H6" s="37" t="s">
        <v>180</v>
      </c>
      <c r="I6" s="37" t="s">
        <v>186</v>
      </c>
    </row>
    <row r="7" spans="1:9" ht="19.95" customHeight="1" x14ac:dyDescent="0.3">
      <c r="A7" s="37" t="s">
        <v>14</v>
      </c>
      <c r="B7" s="37" t="s">
        <v>160</v>
      </c>
      <c r="C7" s="37" t="s">
        <v>169</v>
      </c>
      <c r="D7" s="37" t="s">
        <v>174</v>
      </c>
      <c r="E7" s="37">
        <v>78421</v>
      </c>
      <c r="F7" s="40">
        <v>42043</v>
      </c>
      <c r="G7" s="37">
        <v>2</v>
      </c>
      <c r="H7" s="37" t="s">
        <v>181</v>
      </c>
      <c r="I7" s="37" t="s">
        <v>187</v>
      </c>
    </row>
    <row r="8" spans="1:9" ht="19.95" customHeight="1" x14ac:dyDescent="0.3">
      <c r="A8" s="37" t="s">
        <v>15</v>
      </c>
      <c r="B8" s="37" t="s">
        <v>163</v>
      </c>
      <c r="C8" s="37" t="s">
        <v>168</v>
      </c>
      <c r="D8" s="37" t="s">
        <v>178</v>
      </c>
      <c r="E8" s="37">
        <v>67721</v>
      </c>
      <c r="F8" s="40">
        <v>42050</v>
      </c>
      <c r="G8" s="37" t="s">
        <v>178</v>
      </c>
      <c r="H8" s="37" t="s">
        <v>180</v>
      </c>
      <c r="I8" s="37" t="s">
        <v>185</v>
      </c>
    </row>
    <row r="9" spans="1:9" ht="19.95" customHeight="1" x14ac:dyDescent="0.3">
      <c r="A9" s="37" t="s">
        <v>16</v>
      </c>
      <c r="B9" s="37" t="s">
        <v>164</v>
      </c>
      <c r="C9" s="37" t="s">
        <v>170</v>
      </c>
      <c r="D9" s="37" t="s">
        <v>178</v>
      </c>
      <c r="E9" s="37">
        <v>35364</v>
      </c>
      <c r="F9" s="40">
        <v>42057</v>
      </c>
      <c r="G9" s="37">
        <v>2</v>
      </c>
      <c r="H9" s="37" t="s">
        <v>179</v>
      </c>
      <c r="I9" s="37" t="s">
        <v>188</v>
      </c>
    </row>
    <row r="10" spans="1:9" ht="19.95" customHeight="1" x14ac:dyDescent="0.3">
      <c r="A10" s="37" t="s">
        <v>17</v>
      </c>
      <c r="B10" s="37" t="s">
        <v>160</v>
      </c>
      <c r="C10" s="37" t="s">
        <v>169</v>
      </c>
      <c r="D10" s="37" t="s">
        <v>172</v>
      </c>
      <c r="E10" s="37">
        <v>97881</v>
      </c>
      <c r="F10" s="40">
        <v>42064</v>
      </c>
      <c r="G10" s="37" t="s">
        <v>178</v>
      </c>
      <c r="H10" s="37" t="s">
        <v>181</v>
      </c>
      <c r="I10" s="37" t="s">
        <v>189</v>
      </c>
    </row>
    <row r="11" spans="1:9" ht="19.95" customHeight="1" x14ac:dyDescent="0.3">
      <c r="A11" s="37" t="s">
        <v>18</v>
      </c>
      <c r="B11" s="37" t="s">
        <v>164</v>
      </c>
      <c r="C11" s="37" t="s">
        <v>167</v>
      </c>
      <c r="D11" s="37" t="s">
        <v>175</v>
      </c>
      <c r="E11" s="37">
        <v>91846</v>
      </c>
      <c r="F11" s="40">
        <v>42071</v>
      </c>
      <c r="G11" s="37" t="s">
        <v>178</v>
      </c>
      <c r="H11" s="37" t="s">
        <v>180</v>
      </c>
      <c r="I11" s="37" t="s">
        <v>190</v>
      </c>
    </row>
    <row r="12" spans="1:9" ht="19.95" customHeight="1" x14ac:dyDescent="0.3">
      <c r="A12" s="37" t="s">
        <v>19</v>
      </c>
      <c r="B12" s="37" t="s">
        <v>163</v>
      </c>
      <c r="C12" s="37" t="s">
        <v>166</v>
      </c>
      <c r="D12" s="37" t="s">
        <v>175</v>
      </c>
      <c r="E12" s="37">
        <v>64247</v>
      </c>
      <c r="F12" s="40">
        <v>42078</v>
      </c>
      <c r="G12" s="37">
        <v>1</v>
      </c>
      <c r="H12" s="37" t="s">
        <v>181</v>
      </c>
      <c r="I12" s="37" t="s">
        <v>191</v>
      </c>
    </row>
    <row r="13" spans="1:9" ht="19.95" customHeight="1" x14ac:dyDescent="0.3">
      <c r="A13" s="37" t="s">
        <v>20</v>
      </c>
      <c r="B13" s="37" t="s">
        <v>163</v>
      </c>
      <c r="C13" s="37" t="s">
        <v>169</v>
      </c>
      <c r="D13" s="37" t="s">
        <v>173</v>
      </c>
      <c r="E13" s="37">
        <v>91180</v>
      </c>
      <c r="F13" s="40">
        <v>42085</v>
      </c>
      <c r="G13" s="37">
        <v>5</v>
      </c>
      <c r="H13" s="37" t="s">
        <v>180</v>
      </c>
      <c r="I13" s="37" t="s">
        <v>192</v>
      </c>
    </row>
    <row r="14" spans="1:9" ht="19.95" customHeight="1" x14ac:dyDescent="0.3">
      <c r="A14" s="37" t="s">
        <v>21</v>
      </c>
      <c r="B14" s="37" t="s">
        <v>165</v>
      </c>
      <c r="C14" s="37" t="s">
        <v>168</v>
      </c>
      <c r="D14" s="37" t="s">
        <v>178</v>
      </c>
      <c r="E14" s="37">
        <v>96418</v>
      </c>
      <c r="F14" s="40">
        <v>42092</v>
      </c>
      <c r="G14" s="37">
        <v>5</v>
      </c>
      <c r="H14" s="37" t="s">
        <v>180</v>
      </c>
      <c r="I14" s="37" t="s">
        <v>183</v>
      </c>
    </row>
    <row r="15" spans="1:9" ht="19.95" customHeight="1" x14ac:dyDescent="0.3">
      <c r="A15" s="37" t="s">
        <v>22</v>
      </c>
      <c r="B15" s="37" t="s">
        <v>163</v>
      </c>
      <c r="C15" s="37" t="s">
        <v>178</v>
      </c>
      <c r="D15" s="37" t="s">
        <v>174</v>
      </c>
      <c r="E15" s="37">
        <v>62158</v>
      </c>
      <c r="F15" s="40">
        <v>42099</v>
      </c>
      <c r="G15" s="37">
        <v>4</v>
      </c>
      <c r="H15" s="37" t="s">
        <v>178</v>
      </c>
      <c r="I15" s="37" t="s">
        <v>193</v>
      </c>
    </row>
    <row r="16" spans="1:9" ht="19.95" customHeight="1" x14ac:dyDescent="0.3">
      <c r="A16" s="37" t="s">
        <v>23</v>
      </c>
      <c r="B16" s="37" t="s">
        <v>162</v>
      </c>
      <c r="C16" s="37" t="s">
        <v>167</v>
      </c>
      <c r="D16" s="37" t="s">
        <v>178</v>
      </c>
      <c r="E16" s="37">
        <v>59894</v>
      </c>
      <c r="F16" s="40">
        <v>42106</v>
      </c>
      <c r="G16" s="37">
        <v>2</v>
      </c>
      <c r="H16" s="37" t="s">
        <v>180</v>
      </c>
      <c r="I16" s="37" t="s">
        <v>194</v>
      </c>
    </row>
    <row r="17" spans="1:9" ht="19.95" customHeight="1" x14ac:dyDescent="0.3">
      <c r="A17" s="37" t="s">
        <v>24</v>
      </c>
      <c r="B17" s="37" t="s">
        <v>178</v>
      </c>
      <c r="C17" s="37" t="s">
        <v>169</v>
      </c>
      <c r="D17" s="37" t="s">
        <v>174</v>
      </c>
      <c r="E17" s="37">
        <v>92443</v>
      </c>
      <c r="F17" s="40">
        <v>42113</v>
      </c>
      <c r="G17" s="37">
        <v>3</v>
      </c>
      <c r="H17" s="37" t="s">
        <v>179</v>
      </c>
      <c r="I17" s="37" t="s">
        <v>195</v>
      </c>
    </row>
    <row r="18" spans="1:9" ht="19.95" customHeight="1" x14ac:dyDescent="0.3">
      <c r="A18" s="37" t="s">
        <v>25</v>
      </c>
      <c r="B18" s="37" t="s">
        <v>165</v>
      </c>
      <c r="C18" s="37" t="s">
        <v>178</v>
      </c>
      <c r="D18" s="37" t="s">
        <v>172</v>
      </c>
      <c r="E18" s="37">
        <v>90271</v>
      </c>
      <c r="F18" s="40">
        <v>42120</v>
      </c>
      <c r="G18" s="37" t="s">
        <v>178</v>
      </c>
      <c r="H18" s="37" t="s">
        <v>178</v>
      </c>
      <c r="I18" s="37" t="s">
        <v>196</v>
      </c>
    </row>
    <row r="19" spans="1:9" ht="19.95" customHeight="1" x14ac:dyDescent="0.3">
      <c r="A19" s="37" t="s">
        <v>26</v>
      </c>
      <c r="B19" s="37" t="s">
        <v>162</v>
      </c>
      <c r="C19" s="37" t="s">
        <v>166</v>
      </c>
      <c r="D19" s="37" t="s">
        <v>176</v>
      </c>
      <c r="E19" s="37">
        <v>41341</v>
      </c>
      <c r="F19" s="40">
        <v>42127</v>
      </c>
      <c r="G19" s="37">
        <v>1</v>
      </c>
      <c r="H19" s="37" t="s">
        <v>179</v>
      </c>
      <c r="I19" s="37" t="s">
        <v>197</v>
      </c>
    </row>
    <row r="20" spans="1:9" ht="19.95" customHeight="1" x14ac:dyDescent="0.3">
      <c r="A20" s="37" t="s">
        <v>27</v>
      </c>
      <c r="B20" s="37" t="s">
        <v>160</v>
      </c>
      <c r="C20" s="37" t="s">
        <v>166</v>
      </c>
      <c r="D20" s="37" t="s">
        <v>175</v>
      </c>
      <c r="E20" s="37">
        <v>73602</v>
      </c>
      <c r="F20" s="40">
        <v>42134</v>
      </c>
      <c r="G20" s="37" t="s">
        <v>178</v>
      </c>
      <c r="H20" s="37" t="s">
        <v>178</v>
      </c>
      <c r="I20" s="37" t="s">
        <v>198</v>
      </c>
    </row>
    <row r="21" spans="1:9" ht="19.95" customHeight="1" x14ac:dyDescent="0.3">
      <c r="A21" s="37" t="s">
        <v>28</v>
      </c>
      <c r="B21" s="37" t="s">
        <v>159</v>
      </c>
      <c r="C21" s="37" t="s">
        <v>178</v>
      </c>
      <c r="D21" s="37" t="s">
        <v>174</v>
      </c>
      <c r="E21" s="37">
        <v>67531</v>
      </c>
      <c r="F21" s="40">
        <v>42141</v>
      </c>
      <c r="G21" s="37">
        <v>5</v>
      </c>
      <c r="H21" s="37" t="s">
        <v>181</v>
      </c>
      <c r="I21" s="37" t="s">
        <v>199</v>
      </c>
    </row>
    <row r="22" spans="1:9" ht="19.95" customHeight="1" x14ac:dyDescent="0.3">
      <c r="A22" s="37" t="s">
        <v>29</v>
      </c>
      <c r="B22" s="37" t="s">
        <v>162</v>
      </c>
      <c r="C22" s="37" t="s">
        <v>167</v>
      </c>
      <c r="D22" s="37" t="s">
        <v>173</v>
      </c>
      <c r="E22" s="37" t="s">
        <v>178</v>
      </c>
      <c r="F22" s="40">
        <v>42148</v>
      </c>
      <c r="G22" s="37">
        <v>2</v>
      </c>
      <c r="H22" s="37" t="s">
        <v>179</v>
      </c>
      <c r="I22" s="37" t="s">
        <v>200</v>
      </c>
    </row>
    <row r="23" spans="1:9" ht="19.95" customHeight="1" x14ac:dyDescent="0.3">
      <c r="A23" s="37" t="s">
        <v>30</v>
      </c>
      <c r="B23" s="37" t="s">
        <v>162</v>
      </c>
      <c r="C23" s="37" t="s">
        <v>167</v>
      </c>
      <c r="D23" s="37" t="s">
        <v>178</v>
      </c>
      <c r="E23" s="37">
        <v>98922</v>
      </c>
      <c r="F23" s="40">
        <v>42155</v>
      </c>
      <c r="G23" s="37">
        <v>4</v>
      </c>
      <c r="H23" s="37" t="s">
        <v>178</v>
      </c>
      <c r="I23" s="37" t="s">
        <v>201</v>
      </c>
    </row>
    <row r="24" spans="1:9" ht="19.95" customHeight="1" x14ac:dyDescent="0.3">
      <c r="A24" s="37" t="s">
        <v>31</v>
      </c>
      <c r="B24" s="37" t="s">
        <v>159</v>
      </c>
      <c r="C24" s="37" t="s">
        <v>166</v>
      </c>
      <c r="D24" s="37" t="s">
        <v>174</v>
      </c>
      <c r="E24" s="37">
        <v>38333</v>
      </c>
      <c r="F24" s="40">
        <v>42162</v>
      </c>
      <c r="G24" s="37">
        <v>5</v>
      </c>
      <c r="H24" s="37" t="s">
        <v>178</v>
      </c>
      <c r="I24" s="37" t="s">
        <v>202</v>
      </c>
    </row>
    <row r="25" spans="1:9" ht="19.95" customHeight="1" x14ac:dyDescent="0.3">
      <c r="A25" s="37" t="s">
        <v>32</v>
      </c>
      <c r="B25" s="37" t="s">
        <v>160</v>
      </c>
      <c r="C25" s="37" t="s">
        <v>170</v>
      </c>
      <c r="D25" s="37" t="s">
        <v>175</v>
      </c>
      <c r="E25" s="37">
        <v>36515</v>
      </c>
      <c r="F25" s="40">
        <v>42169</v>
      </c>
      <c r="G25" s="37">
        <v>3</v>
      </c>
      <c r="H25" s="37" t="s">
        <v>180</v>
      </c>
      <c r="I25" s="37" t="s">
        <v>203</v>
      </c>
    </row>
    <row r="26" spans="1:9" ht="19.95" customHeight="1" x14ac:dyDescent="0.3">
      <c r="A26" s="37" t="s">
        <v>33</v>
      </c>
      <c r="B26" s="37" t="s">
        <v>163</v>
      </c>
      <c r="C26" s="37" t="s">
        <v>166</v>
      </c>
      <c r="D26" s="37" t="s">
        <v>178</v>
      </c>
      <c r="E26" s="37">
        <v>91005</v>
      </c>
      <c r="F26" s="40">
        <v>42176</v>
      </c>
      <c r="G26" s="37">
        <v>1</v>
      </c>
      <c r="H26" s="37" t="s">
        <v>179</v>
      </c>
      <c r="I26" s="37" t="s">
        <v>204</v>
      </c>
    </row>
    <row r="27" spans="1:9" ht="19.95" customHeight="1" x14ac:dyDescent="0.3">
      <c r="A27" s="37" t="s">
        <v>34</v>
      </c>
      <c r="B27" s="37" t="s">
        <v>164</v>
      </c>
      <c r="C27" s="37" t="s">
        <v>178</v>
      </c>
      <c r="D27" s="37" t="s">
        <v>178</v>
      </c>
      <c r="E27" s="37">
        <v>52272</v>
      </c>
      <c r="F27" s="40">
        <v>42183</v>
      </c>
      <c r="G27" s="37">
        <v>3</v>
      </c>
      <c r="H27" s="37" t="s">
        <v>178</v>
      </c>
      <c r="I27" s="37" t="s">
        <v>205</v>
      </c>
    </row>
    <row r="28" spans="1:9" ht="19.95" customHeight="1" x14ac:dyDescent="0.3">
      <c r="A28" s="37" t="s">
        <v>35</v>
      </c>
      <c r="B28" s="37" t="s">
        <v>159</v>
      </c>
      <c r="C28" s="37" t="s">
        <v>168</v>
      </c>
      <c r="D28" s="37" t="s">
        <v>172</v>
      </c>
      <c r="E28" s="37">
        <v>76518</v>
      </c>
      <c r="F28" s="40">
        <v>42190</v>
      </c>
      <c r="G28" s="37">
        <v>2</v>
      </c>
      <c r="H28" s="37" t="s">
        <v>181</v>
      </c>
      <c r="I28" s="37" t="s">
        <v>206</v>
      </c>
    </row>
    <row r="29" spans="1:9" ht="19.95" customHeight="1" x14ac:dyDescent="0.3">
      <c r="A29" s="37" t="s">
        <v>36</v>
      </c>
      <c r="B29" s="37" t="s">
        <v>160</v>
      </c>
      <c r="C29" s="37" t="s">
        <v>169</v>
      </c>
      <c r="D29" s="37" t="s">
        <v>175</v>
      </c>
      <c r="E29" s="37">
        <v>41448</v>
      </c>
      <c r="F29" s="40">
        <v>42197</v>
      </c>
      <c r="G29" s="37">
        <v>3</v>
      </c>
      <c r="H29" s="37" t="s">
        <v>179</v>
      </c>
      <c r="I29" s="37" t="s">
        <v>207</v>
      </c>
    </row>
    <row r="30" spans="1:9" ht="19.95" customHeight="1" x14ac:dyDescent="0.3">
      <c r="A30" s="37" t="s">
        <v>37</v>
      </c>
      <c r="B30" s="37" t="s">
        <v>161</v>
      </c>
      <c r="C30" s="37" t="s">
        <v>167</v>
      </c>
      <c r="D30" s="37" t="s">
        <v>175</v>
      </c>
      <c r="E30" s="37">
        <v>49282</v>
      </c>
      <c r="F30" s="40">
        <v>42204</v>
      </c>
      <c r="G30" s="37">
        <v>2</v>
      </c>
      <c r="H30" s="37" t="s">
        <v>181</v>
      </c>
      <c r="I30" s="37" t="s">
        <v>208</v>
      </c>
    </row>
    <row r="31" spans="1:9" ht="19.95" customHeight="1" x14ac:dyDescent="0.3">
      <c r="A31" s="37" t="s">
        <v>38</v>
      </c>
      <c r="B31" s="37" t="s">
        <v>165</v>
      </c>
      <c r="C31" s="37" t="s">
        <v>170</v>
      </c>
      <c r="D31" s="37" t="s">
        <v>175</v>
      </c>
      <c r="E31" s="37">
        <v>92959</v>
      </c>
      <c r="F31" s="40">
        <v>42211</v>
      </c>
      <c r="G31" s="37">
        <v>5</v>
      </c>
      <c r="H31" s="37" t="s">
        <v>178</v>
      </c>
      <c r="I31" s="37" t="s">
        <v>209</v>
      </c>
    </row>
    <row r="32" spans="1:9" ht="19.95" customHeight="1" x14ac:dyDescent="0.3">
      <c r="A32" s="37" t="s">
        <v>39</v>
      </c>
      <c r="B32" s="37" t="s">
        <v>178</v>
      </c>
      <c r="C32" s="37" t="s">
        <v>170</v>
      </c>
      <c r="D32" s="37" t="s">
        <v>178</v>
      </c>
      <c r="E32" s="37">
        <v>92259</v>
      </c>
      <c r="F32" s="37" t="s">
        <v>178</v>
      </c>
      <c r="G32" s="37">
        <v>1</v>
      </c>
      <c r="H32" s="37" t="s">
        <v>178</v>
      </c>
      <c r="I32" s="37" t="s">
        <v>210</v>
      </c>
    </row>
    <row r="33" spans="1:9" ht="19.95" customHeight="1" x14ac:dyDescent="0.3">
      <c r="A33" s="37" t="s">
        <v>40</v>
      </c>
      <c r="B33" s="37" t="s">
        <v>159</v>
      </c>
      <c r="C33" s="37" t="s">
        <v>167</v>
      </c>
      <c r="D33" s="37" t="s">
        <v>172</v>
      </c>
      <c r="E33" s="37">
        <v>92299</v>
      </c>
      <c r="F33" s="40">
        <v>42225</v>
      </c>
      <c r="G33" s="37">
        <v>3</v>
      </c>
      <c r="H33" s="37" t="s">
        <v>180</v>
      </c>
      <c r="I33" s="37" t="s">
        <v>211</v>
      </c>
    </row>
    <row r="34" spans="1:9" ht="19.95" customHeight="1" x14ac:dyDescent="0.3">
      <c r="A34" s="37" t="s">
        <v>41</v>
      </c>
      <c r="B34" s="37" t="s">
        <v>163</v>
      </c>
      <c r="C34" s="37" t="s">
        <v>167</v>
      </c>
      <c r="D34" s="37" t="s">
        <v>178</v>
      </c>
      <c r="E34" s="37">
        <v>95586</v>
      </c>
      <c r="F34" s="40">
        <v>42232</v>
      </c>
      <c r="G34" s="37">
        <v>3</v>
      </c>
      <c r="H34" s="37" t="s">
        <v>179</v>
      </c>
      <c r="I34" s="37" t="s">
        <v>212</v>
      </c>
    </row>
    <row r="35" spans="1:9" ht="19.95" customHeight="1" x14ac:dyDescent="0.3">
      <c r="A35" s="37" t="s">
        <v>42</v>
      </c>
      <c r="B35" s="37" t="s">
        <v>164</v>
      </c>
      <c r="C35" s="37" t="s">
        <v>178</v>
      </c>
      <c r="D35" s="37" t="s">
        <v>173</v>
      </c>
      <c r="E35" s="37">
        <v>95367</v>
      </c>
      <c r="F35" s="40">
        <v>42239</v>
      </c>
      <c r="G35" s="37" t="s">
        <v>178</v>
      </c>
      <c r="H35" s="37" t="s">
        <v>180</v>
      </c>
      <c r="I35" s="37" t="s">
        <v>213</v>
      </c>
    </row>
    <row r="36" spans="1:9" ht="19.95" customHeight="1" x14ac:dyDescent="0.3">
      <c r="A36" s="37" t="s">
        <v>43</v>
      </c>
      <c r="B36" s="37" t="s">
        <v>161</v>
      </c>
      <c r="C36" s="37" t="s">
        <v>168</v>
      </c>
      <c r="D36" s="37" t="s">
        <v>176</v>
      </c>
      <c r="E36" s="37">
        <v>79549</v>
      </c>
      <c r="F36" s="40">
        <v>42246</v>
      </c>
      <c r="G36" s="37">
        <v>3</v>
      </c>
      <c r="H36" s="37" t="s">
        <v>178</v>
      </c>
      <c r="I36" s="37" t="s">
        <v>214</v>
      </c>
    </row>
    <row r="37" spans="1:9" ht="19.95" customHeight="1" x14ac:dyDescent="0.3">
      <c r="A37" s="37" t="s">
        <v>44</v>
      </c>
      <c r="B37" s="37" t="s">
        <v>160</v>
      </c>
      <c r="C37" s="37" t="s">
        <v>178</v>
      </c>
      <c r="D37" s="37" t="s">
        <v>175</v>
      </c>
      <c r="E37" s="37">
        <v>54463</v>
      </c>
      <c r="F37" s="40">
        <v>42253</v>
      </c>
      <c r="G37" s="37">
        <v>4</v>
      </c>
      <c r="H37" s="37" t="s">
        <v>180</v>
      </c>
      <c r="I37" s="37" t="s">
        <v>178</v>
      </c>
    </row>
    <row r="38" spans="1:9" ht="19.95" customHeight="1" x14ac:dyDescent="0.3">
      <c r="A38" s="37" t="s">
        <v>45</v>
      </c>
      <c r="B38" s="37" t="s">
        <v>160</v>
      </c>
      <c r="C38" s="37" t="s">
        <v>169</v>
      </c>
      <c r="D38" s="37" t="s">
        <v>173</v>
      </c>
      <c r="E38" s="37">
        <v>89781</v>
      </c>
      <c r="F38" s="40">
        <v>42260</v>
      </c>
      <c r="G38" s="37" t="s">
        <v>178</v>
      </c>
      <c r="H38" s="37" t="s">
        <v>181</v>
      </c>
      <c r="I38" s="37" t="s">
        <v>215</v>
      </c>
    </row>
    <row r="39" spans="1:9" ht="19.95" customHeight="1" x14ac:dyDescent="0.3">
      <c r="A39" s="37" t="s">
        <v>46</v>
      </c>
      <c r="B39" s="37" t="s">
        <v>160</v>
      </c>
      <c r="C39" s="37" t="s">
        <v>167</v>
      </c>
      <c r="D39" s="37" t="s">
        <v>178</v>
      </c>
      <c r="E39" s="37">
        <v>64796</v>
      </c>
      <c r="F39" s="40">
        <v>42267</v>
      </c>
      <c r="G39" s="37" t="s">
        <v>178</v>
      </c>
      <c r="H39" s="37" t="s">
        <v>179</v>
      </c>
      <c r="I39" s="37" t="s">
        <v>216</v>
      </c>
    </row>
    <row r="40" spans="1:9" ht="19.95" customHeight="1" x14ac:dyDescent="0.3">
      <c r="A40" s="37" t="s">
        <v>47</v>
      </c>
      <c r="B40" s="37" t="s">
        <v>161</v>
      </c>
      <c r="C40" s="37" t="s">
        <v>170</v>
      </c>
      <c r="D40" s="37" t="s">
        <v>175</v>
      </c>
      <c r="E40" s="37">
        <v>52093</v>
      </c>
      <c r="F40" s="40">
        <v>42274</v>
      </c>
      <c r="G40" s="37">
        <v>5</v>
      </c>
      <c r="H40" s="37" t="s">
        <v>178</v>
      </c>
      <c r="I40" s="37" t="s">
        <v>217</v>
      </c>
    </row>
    <row r="41" spans="1:9" ht="19.95" customHeight="1" x14ac:dyDescent="0.3">
      <c r="A41" s="37" t="s">
        <v>48</v>
      </c>
      <c r="B41" s="37" t="s">
        <v>164</v>
      </c>
      <c r="C41" s="37" t="s">
        <v>167</v>
      </c>
      <c r="D41" s="37" t="s">
        <v>175</v>
      </c>
      <c r="E41" s="37">
        <v>48224</v>
      </c>
      <c r="F41" s="40">
        <v>42281</v>
      </c>
      <c r="G41" s="37">
        <v>3</v>
      </c>
      <c r="H41" s="37" t="s">
        <v>178</v>
      </c>
      <c r="I41" s="37" t="s">
        <v>218</v>
      </c>
    </row>
    <row r="42" spans="1:9" ht="19.95" customHeight="1" x14ac:dyDescent="0.3">
      <c r="A42" s="37" t="s">
        <v>49</v>
      </c>
      <c r="B42" s="37" t="s">
        <v>165</v>
      </c>
      <c r="C42" s="37" t="s">
        <v>166</v>
      </c>
      <c r="D42" s="37" t="s">
        <v>175</v>
      </c>
      <c r="E42" s="37" t="s">
        <v>178</v>
      </c>
      <c r="F42" s="37" t="s">
        <v>178</v>
      </c>
      <c r="G42" s="37">
        <v>4</v>
      </c>
      <c r="H42" s="37" t="s">
        <v>181</v>
      </c>
      <c r="I42" s="37" t="s">
        <v>219</v>
      </c>
    </row>
    <row r="43" spans="1:9" ht="19.95" customHeight="1" x14ac:dyDescent="0.3">
      <c r="A43" s="37" t="s">
        <v>50</v>
      </c>
      <c r="B43" s="37" t="s">
        <v>160</v>
      </c>
      <c r="C43" s="37" t="s">
        <v>169</v>
      </c>
      <c r="D43" s="37" t="s">
        <v>172</v>
      </c>
      <c r="E43" s="37">
        <v>33956</v>
      </c>
      <c r="F43" s="40">
        <v>42295</v>
      </c>
      <c r="G43" s="37" t="s">
        <v>178</v>
      </c>
      <c r="H43" s="37" t="s">
        <v>178</v>
      </c>
      <c r="I43" s="37" t="s">
        <v>220</v>
      </c>
    </row>
    <row r="44" spans="1:9" ht="19.95" customHeight="1" x14ac:dyDescent="0.3">
      <c r="A44" s="37" t="s">
        <v>51</v>
      </c>
      <c r="B44" s="37" t="s">
        <v>165</v>
      </c>
      <c r="C44" s="37" t="s">
        <v>178</v>
      </c>
      <c r="D44" s="37" t="s">
        <v>176</v>
      </c>
      <c r="E44" s="37">
        <v>64913</v>
      </c>
      <c r="F44" s="40">
        <v>42302</v>
      </c>
      <c r="G44" s="37">
        <v>1</v>
      </c>
      <c r="H44" s="37" t="s">
        <v>181</v>
      </c>
      <c r="I44" s="37" t="s">
        <v>221</v>
      </c>
    </row>
    <row r="45" spans="1:9" ht="19.95" customHeight="1" x14ac:dyDescent="0.3">
      <c r="A45" s="37" t="s">
        <v>52</v>
      </c>
      <c r="B45" s="37" t="s">
        <v>160</v>
      </c>
      <c r="C45" s="37" t="s">
        <v>170</v>
      </c>
      <c r="D45" s="37" t="s">
        <v>176</v>
      </c>
      <c r="E45" s="37">
        <v>35326</v>
      </c>
      <c r="F45" s="40">
        <v>42309</v>
      </c>
      <c r="G45" s="37" t="s">
        <v>178</v>
      </c>
      <c r="H45" s="37" t="s">
        <v>181</v>
      </c>
      <c r="I45" s="37" t="s">
        <v>222</v>
      </c>
    </row>
    <row r="46" spans="1:9" ht="19.95" customHeight="1" x14ac:dyDescent="0.3">
      <c r="A46" s="37" t="s">
        <v>53</v>
      </c>
      <c r="B46" s="37" t="s">
        <v>164</v>
      </c>
      <c r="C46" s="37" t="s">
        <v>166</v>
      </c>
      <c r="D46" s="37" t="s">
        <v>178</v>
      </c>
      <c r="E46" s="37">
        <v>81610</v>
      </c>
      <c r="F46" s="40">
        <v>42316</v>
      </c>
      <c r="G46" s="37">
        <v>1</v>
      </c>
      <c r="H46" s="37" t="s">
        <v>178</v>
      </c>
      <c r="I46" s="37" t="s">
        <v>223</v>
      </c>
    </row>
    <row r="47" spans="1:9" ht="19.95" customHeight="1" x14ac:dyDescent="0.3">
      <c r="A47" s="37" t="s">
        <v>54</v>
      </c>
      <c r="B47" s="37" t="s">
        <v>178</v>
      </c>
      <c r="C47" s="37" t="s">
        <v>167</v>
      </c>
      <c r="D47" s="37" t="s">
        <v>178</v>
      </c>
      <c r="E47" s="37">
        <v>58962</v>
      </c>
      <c r="F47" s="40">
        <v>42323</v>
      </c>
      <c r="G47" s="37">
        <v>3</v>
      </c>
      <c r="H47" s="37" t="s">
        <v>179</v>
      </c>
      <c r="I47" s="37" t="s">
        <v>183</v>
      </c>
    </row>
    <row r="48" spans="1:9" ht="19.95" customHeight="1" x14ac:dyDescent="0.3">
      <c r="A48" s="37" t="s">
        <v>55</v>
      </c>
      <c r="B48" s="37" t="s">
        <v>164</v>
      </c>
      <c r="C48" s="37" t="s">
        <v>169</v>
      </c>
      <c r="D48" s="37" t="s">
        <v>172</v>
      </c>
      <c r="E48" s="37">
        <v>92701</v>
      </c>
      <c r="F48" s="40">
        <v>42330</v>
      </c>
      <c r="G48" s="37">
        <v>3</v>
      </c>
      <c r="H48" s="37" t="s">
        <v>179</v>
      </c>
      <c r="I48" s="37" t="s">
        <v>224</v>
      </c>
    </row>
    <row r="49" spans="1:9" ht="19.95" customHeight="1" x14ac:dyDescent="0.3">
      <c r="A49" s="37" t="s">
        <v>56</v>
      </c>
      <c r="B49" s="37" t="s">
        <v>164</v>
      </c>
      <c r="C49" s="37" t="s">
        <v>167</v>
      </c>
      <c r="D49" s="37" t="s">
        <v>174</v>
      </c>
      <c r="E49" s="37">
        <v>58245</v>
      </c>
      <c r="F49" s="40">
        <v>42337</v>
      </c>
      <c r="G49" s="37">
        <v>4</v>
      </c>
      <c r="H49" s="37" t="s">
        <v>178</v>
      </c>
      <c r="I49" s="37" t="s">
        <v>225</v>
      </c>
    </row>
    <row r="50" spans="1:9" ht="19.95" customHeight="1" x14ac:dyDescent="0.3">
      <c r="A50" s="37" t="s">
        <v>57</v>
      </c>
      <c r="B50" s="37" t="s">
        <v>161</v>
      </c>
      <c r="C50" s="37" t="s">
        <v>166</v>
      </c>
      <c r="D50" s="37" t="s">
        <v>178</v>
      </c>
      <c r="E50" s="37">
        <v>66513</v>
      </c>
      <c r="F50" s="40">
        <v>42344</v>
      </c>
      <c r="G50" s="37">
        <v>2</v>
      </c>
      <c r="H50" s="37" t="s">
        <v>179</v>
      </c>
      <c r="I50" s="37" t="s">
        <v>187</v>
      </c>
    </row>
    <row r="51" spans="1:9" ht="19.95" customHeight="1" x14ac:dyDescent="0.3">
      <c r="A51" s="37" t="s">
        <v>58</v>
      </c>
      <c r="B51" s="37" t="s">
        <v>159</v>
      </c>
      <c r="C51" s="37" t="s">
        <v>167</v>
      </c>
      <c r="D51" s="37" t="s">
        <v>172</v>
      </c>
      <c r="E51" s="37">
        <v>78720</v>
      </c>
      <c r="F51" s="40">
        <v>42351</v>
      </c>
      <c r="G51" s="37">
        <v>5</v>
      </c>
      <c r="H51" s="37" t="s">
        <v>181</v>
      </c>
      <c r="I51" s="37" t="s">
        <v>219</v>
      </c>
    </row>
    <row r="52" spans="1:9" ht="19.95" customHeight="1" x14ac:dyDescent="0.3">
      <c r="A52" s="37" t="s">
        <v>59</v>
      </c>
      <c r="B52" s="37" t="s">
        <v>164</v>
      </c>
      <c r="C52" s="37" t="s">
        <v>178</v>
      </c>
      <c r="D52" s="37" t="s">
        <v>178</v>
      </c>
      <c r="E52" s="37">
        <v>30686</v>
      </c>
      <c r="F52" s="37" t="s">
        <v>178</v>
      </c>
      <c r="G52" s="37">
        <v>2</v>
      </c>
      <c r="H52" s="37" t="s">
        <v>181</v>
      </c>
      <c r="I52" s="37" t="s">
        <v>226</v>
      </c>
    </row>
    <row r="53" spans="1:9" ht="19.95" customHeight="1" x14ac:dyDescent="0.3">
      <c r="A53" s="37" t="s">
        <v>60</v>
      </c>
      <c r="B53" s="37" t="s">
        <v>163</v>
      </c>
      <c r="C53" s="37" t="s">
        <v>168</v>
      </c>
      <c r="D53" s="37" t="s">
        <v>174</v>
      </c>
      <c r="E53" s="37">
        <v>39423</v>
      </c>
      <c r="F53" s="40">
        <v>42365</v>
      </c>
      <c r="G53" s="37">
        <v>5</v>
      </c>
      <c r="H53" s="37" t="s">
        <v>178</v>
      </c>
      <c r="I53" s="37" t="s">
        <v>227</v>
      </c>
    </row>
    <row r="54" spans="1:9" ht="19.95" customHeight="1" x14ac:dyDescent="0.3">
      <c r="A54" s="37" t="s">
        <v>61</v>
      </c>
      <c r="B54" s="37" t="s">
        <v>159</v>
      </c>
      <c r="C54" s="37" t="s">
        <v>170</v>
      </c>
      <c r="D54" s="37" t="s">
        <v>178</v>
      </c>
      <c r="E54" s="37">
        <v>30280</v>
      </c>
      <c r="F54" s="40">
        <v>42372</v>
      </c>
      <c r="G54" s="37">
        <v>1</v>
      </c>
      <c r="H54" s="37" t="s">
        <v>178</v>
      </c>
      <c r="I54" s="37" t="s">
        <v>228</v>
      </c>
    </row>
    <row r="55" spans="1:9" ht="19.95" customHeight="1" x14ac:dyDescent="0.3">
      <c r="A55" s="37" t="s">
        <v>62</v>
      </c>
      <c r="B55" s="37" t="s">
        <v>159</v>
      </c>
      <c r="C55" s="37" t="s">
        <v>166</v>
      </c>
      <c r="D55" s="37" t="s">
        <v>175</v>
      </c>
      <c r="E55" s="37">
        <v>33352</v>
      </c>
      <c r="F55" s="40">
        <v>42379</v>
      </c>
      <c r="G55" s="37">
        <v>3</v>
      </c>
      <c r="H55" s="37" t="s">
        <v>181</v>
      </c>
      <c r="I55" s="37" t="s">
        <v>200</v>
      </c>
    </row>
    <row r="56" spans="1:9" ht="19.95" customHeight="1" x14ac:dyDescent="0.3">
      <c r="A56" s="37" t="s">
        <v>63</v>
      </c>
      <c r="B56" s="37" t="s">
        <v>165</v>
      </c>
      <c r="C56" s="37" t="s">
        <v>170</v>
      </c>
      <c r="D56" s="37" t="s">
        <v>175</v>
      </c>
      <c r="E56" s="37">
        <v>75633</v>
      </c>
      <c r="F56" s="40">
        <v>42386</v>
      </c>
      <c r="G56" s="37">
        <v>5</v>
      </c>
      <c r="H56" s="37" t="s">
        <v>179</v>
      </c>
      <c r="I56" s="37" t="s">
        <v>229</v>
      </c>
    </row>
    <row r="57" spans="1:9" ht="19.95" customHeight="1" x14ac:dyDescent="0.3">
      <c r="A57" s="37" t="s">
        <v>64</v>
      </c>
      <c r="B57" s="37" t="s">
        <v>164</v>
      </c>
      <c r="C57" s="37" t="s">
        <v>178</v>
      </c>
      <c r="D57" s="37" t="s">
        <v>173</v>
      </c>
      <c r="E57" s="37">
        <v>74815</v>
      </c>
      <c r="F57" s="40">
        <v>42393</v>
      </c>
      <c r="G57" s="37">
        <v>5</v>
      </c>
      <c r="H57" s="37" t="s">
        <v>181</v>
      </c>
      <c r="I57" s="37" t="s">
        <v>230</v>
      </c>
    </row>
    <row r="58" spans="1:9" ht="19.95" customHeight="1" x14ac:dyDescent="0.3">
      <c r="A58" s="37" t="s">
        <v>65</v>
      </c>
      <c r="B58" s="37" t="s">
        <v>161</v>
      </c>
      <c r="C58" s="37" t="s">
        <v>168</v>
      </c>
      <c r="D58" s="37" t="s">
        <v>176</v>
      </c>
      <c r="E58" s="37">
        <v>60011</v>
      </c>
      <c r="F58" s="40">
        <v>42400</v>
      </c>
      <c r="G58" s="37">
        <v>1</v>
      </c>
      <c r="H58" s="37" t="s">
        <v>180</v>
      </c>
      <c r="I58" s="37" t="s">
        <v>231</v>
      </c>
    </row>
    <row r="59" spans="1:9" ht="19.95" customHeight="1" x14ac:dyDescent="0.3">
      <c r="A59" s="37" t="s">
        <v>66</v>
      </c>
      <c r="B59" s="37" t="s">
        <v>159</v>
      </c>
      <c r="C59" s="37" t="s">
        <v>178</v>
      </c>
      <c r="D59" s="37" t="s">
        <v>174</v>
      </c>
      <c r="E59" s="37">
        <v>96949</v>
      </c>
      <c r="F59" s="40">
        <v>42407</v>
      </c>
      <c r="G59" s="37">
        <v>3</v>
      </c>
      <c r="H59" s="37" t="s">
        <v>178</v>
      </c>
      <c r="I59" s="37" t="s">
        <v>207</v>
      </c>
    </row>
    <row r="60" spans="1:9" ht="19.95" customHeight="1" x14ac:dyDescent="0.3">
      <c r="A60" s="37" t="s">
        <v>67</v>
      </c>
      <c r="B60" s="37" t="s">
        <v>163</v>
      </c>
      <c r="C60" s="37" t="s">
        <v>170</v>
      </c>
      <c r="D60" s="37" t="s">
        <v>178</v>
      </c>
      <c r="E60" s="37">
        <v>84924</v>
      </c>
      <c r="F60" s="40">
        <v>42414</v>
      </c>
      <c r="G60" s="37">
        <v>5</v>
      </c>
      <c r="H60" s="37" t="s">
        <v>180</v>
      </c>
      <c r="I60" s="37" t="s">
        <v>232</v>
      </c>
    </row>
    <row r="61" spans="1:9" ht="19.95" customHeight="1" x14ac:dyDescent="0.3">
      <c r="A61" s="37" t="s">
        <v>68</v>
      </c>
      <c r="B61" s="37" t="s">
        <v>163</v>
      </c>
      <c r="C61" s="37" t="s">
        <v>166</v>
      </c>
      <c r="D61" s="37" t="s">
        <v>173</v>
      </c>
      <c r="E61" s="37">
        <v>82033</v>
      </c>
      <c r="F61" s="40">
        <v>42421</v>
      </c>
      <c r="G61" s="37">
        <v>1</v>
      </c>
      <c r="H61" s="37" t="s">
        <v>178</v>
      </c>
      <c r="I61" s="37" t="s">
        <v>223</v>
      </c>
    </row>
    <row r="62" spans="1:9" ht="19.95" customHeight="1" x14ac:dyDescent="0.3">
      <c r="A62" s="37" t="s">
        <v>69</v>
      </c>
      <c r="B62" s="37" t="s">
        <v>178</v>
      </c>
      <c r="C62" s="37" t="s">
        <v>170</v>
      </c>
      <c r="D62" s="37" t="s">
        <v>172</v>
      </c>
      <c r="E62" s="37" t="s">
        <v>178</v>
      </c>
      <c r="F62" s="37" t="s">
        <v>178</v>
      </c>
      <c r="G62" s="37">
        <v>5</v>
      </c>
      <c r="H62" s="37" t="s">
        <v>178</v>
      </c>
      <c r="I62" s="37" t="s">
        <v>233</v>
      </c>
    </row>
    <row r="63" spans="1:9" ht="19.95" customHeight="1" x14ac:dyDescent="0.3">
      <c r="A63" s="37" t="s">
        <v>70</v>
      </c>
      <c r="B63" s="37" t="s">
        <v>159</v>
      </c>
      <c r="C63" s="37" t="s">
        <v>178</v>
      </c>
      <c r="D63" s="37" t="s">
        <v>176</v>
      </c>
      <c r="E63" s="37">
        <v>31499</v>
      </c>
      <c r="F63" s="40">
        <v>42435</v>
      </c>
      <c r="G63" s="37">
        <v>2</v>
      </c>
      <c r="H63" s="37" t="s">
        <v>178</v>
      </c>
      <c r="I63" s="37" t="s">
        <v>215</v>
      </c>
    </row>
    <row r="64" spans="1:9" ht="19.95" customHeight="1" x14ac:dyDescent="0.3">
      <c r="A64" s="37" t="s">
        <v>71</v>
      </c>
      <c r="B64" s="37" t="s">
        <v>164</v>
      </c>
      <c r="C64" s="37" t="s">
        <v>169</v>
      </c>
      <c r="D64" s="37" t="s">
        <v>175</v>
      </c>
      <c r="E64" s="37">
        <v>97981</v>
      </c>
      <c r="F64" s="40">
        <v>42442</v>
      </c>
      <c r="G64" s="37">
        <v>5</v>
      </c>
      <c r="H64" s="37" t="s">
        <v>181</v>
      </c>
      <c r="I64" s="37" t="s">
        <v>234</v>
      </c>
    </row>
    <row r="65" spans="1:9" ht="19.95" customHeight="1" x14ac:dyDescent="0.3">
      <c r="A65" s="37" t="s">
        <v>72</v>
      </c>
      <c r="B65" s="37" t="s">
        <v>159</v>
      </c>
      <c r="C65" s="37" t="s">
        <v>167</v>
      </c>
      <c r="D65" s="37" t="s">
        <v>173</v>
      </c>
      <c r="E65" s="37">
        <v>36541</v>
      </c>
      <c r="F65" s="40">
        <v>42449</v>
      </c>
      <c r="G65" s="37">
        <v>2</v>
      </c>
      <c r="H65" s="37" t="s">
        <v>179</v>
      </c>
      <c r="I65" s="37" t="s">
        <v>235</v>
      </c>
    </row>
    <row r="66" spans="1:9" ht="19.95" customHeight="1" x14ac:dyDescent="0.3">
      <c r="A66" s="37" t="s">
        <v>73</v>
      </c>
      <c r="B66" s="37" t="s">
        <v>161</v>
      </c>
      <c r="C66" s="37" t="s">
        <v>169</v>
      </c>
      <c r="D66" s="37" t="s">
        <v>174</v>
      </c>
      <c r="E66" s="37">
        <v>84737</v>
      </c>
      <c r="F66" s="40">
        <v>42456</v>
      </c>
      <c r="G66" s="37">
        <v>1</v>
      </c>
      <c r="H66" s="37" t="s">
        <v>180</v>
      </c>
      <c r="I66" s="37" t="s">
        <v>236</v>
      </c>
    </row>
    <row r="67" spans="1:9" ht="19.95" customHeight="1" x14ac:dyDescent="0.3">
      <c r="A67" s="37" t="s">
        <v>74</v>
      </c>
      <c r="B67" s="37" t="s">
        <v>163</v>
      </c>
      <c r="C67" s="37" t="s">
        <v>166</v>
      </c>
      <c r="D67" s="37" t="s">
        <v>174</v>
      </c>
      <c r="E67" s="37">
        <v>33468</v>
      </c>
      <c r="F67" s="40">
        <v>42463</v>
      </c>
      <c r="G67" s="37">
        <v>4</v>
      </c>
      <c r="H67" s="37" t="s">
        <v>180</v>
      </c>
      <c r="I67" s="37" t="s">
        <v>237</v>
      </c>
    </row>
    <row r="68" spans="1:9" ht="19.95" customHeight="1" x14ac:dyDescent="0.3">
      <c r="A68" s="37" t="s">
        <v>75</v>
      </c>
      <c r="B68" s="37" t="s">
        <v>163</v>
      </c>
      <c r="C68" s="37" t="s">
        <v>178</v>
      </c>
      <c r="D68" s="37" t="s">
        <v>176</v>
      </c>
      <c r="E68" s="37">
        <v>96365</v>
      </c>
      <c r="F68" s="40">
        <v>42470</v>
      </c>
      <c r="G68" s="37">
        <v>3</v>
      </c>
      <c r="H68" s="37" t="s">
        <v>179</v>
      </c>
      <c r="I68" s="37" t="s">
        <v>238</v>
      </c>
    </row>
    <row r="69" spans="1:9" ht="19.95" customHeight="1" x14ac:dyDescent="0.3">
      <c r="A69" s="37" t="s">
        <v>76</v>
      </c>
      <c r="B69" s="37" t="s">
        <v>160</v>
      </c>
      <c r="C69" s="37" t="s">
        <v>168</v>
      </c>
      <c r="D69" s="37" t="s">
        <v>174</v>
      </c>
      <c r="E69" s="37">
        <v>61942</v>
      </c>
      <c r="F69" s="40">
        <v>42477</v>
      </c>
      <c r="G69" s="37">
        <v>3</v>
      </c>
      <c r="H69" s="37" t="s">
        <v>181</v>
      </c>
      <c r="I69" s="37" t="s">
        <v>239</v>
      </c>
    </row>
    <row r="70" spans="1:9" ht="19.95" customHeight="1" x14ac:dyDescent="0.3">
      <c r="A70" s="37" t="s">
        <v>77</v>
      </c>
      <c r="B70" s="37" t="s">
        <v>163</v>
      </c>
      <c r="C70" s="37" t="s">
        <v>166</v>
      </c>
      <c r="D70" s="37" t="s">
        <v>175</v>
      </c>
      <c r="E70" s="37">
        <v>41467</v>
      </c>
      <c r="F70" s="40">
        <v>42484</v>
      </c>
      <c r="G70" s="37">
        <v>2</v>
      </c>
      <c r="H70" s="37" t="s">
        <v>178</v>
      </c>
      <c r="I70" s="37" t="s">
        <v>201</v>
      </c>
    </row>
    <row r="71" spans="1:9" ht="19.95" customHeight="1" x14ac:dyDescent="0.3">
      <c r="A71" s="37" t="s">
        <v>78</v>
      </c>
      <c r="B71" s="37" t="s">
        <v>165</v>
      </c>
      <c r="C71" s="37" t="s">
        <v>166</v>
      </c>
      <c r="D71" s="37" t="s">
        <v>174</v>
      </c>
      <c r="E71" s="37">
        <v>77096</v>
      </c>
      <c r="F71" s="40">
        <v>42491</v>
      </c>
      <c r="G71" s="37">
        <v>1</v>
      </c>
      <c r="H71" s="37" t="s">
        <v>178</v>
      </c>
      <c r="I71" s="37" t="s">
        <v>240</v>
      </c>
    </row>
    <row r="72" spans="1:9" ht="19.95" customHeight="1" x14ac:dyDescent="0.3">
      <c r="A72" s="37" t="s">
        <v>79</v>
      </c>
      <c r="B72" s="37" t="s">
        <v>159</v>
      </c>
      <c r="C72" s="37" t="s">
        <v>168</v>
      </c>
      <c r="D72" s="37" t="s">
        <v>176</v>
      </c>
      <c r="E72" s="37">
        <v>69952</v>
      </c>
      <c r="F72" s="40">
        <v>42498</v>
      </c>
      <c r="G72" s="37">
        <v>5</v>
      </c>
      <c r="H72" s="37" t="s">
        <v>181</v>
      </c>
      <c r="I72" s="37" t="s">
        <v>178</v>
      </c>
    </row>
    <row r="73" spans="1:9" ht="19.95" customHeight="1" x14ac:dyDescent="0.3">
      <c r="A73" s="37" t="s">
        <v>80</v>
      </c>
      <c r="B73" s="37" t="s">
        <v>159</v>
      </c>
      <c r="C73" s="37" t="s">
        <v>170</v>
      </c>
      <c r="D73" s="37" t="s">
        <v>173</v>
      </c>
      <c r="E73" s="37">
        <v>85065</v>
      </c>
      <c r="F73" s="40">
        <v>42505</v>
      </c>
      <c r="G73" s="37">
        <v>3</v>
      </c>
      <c r="H73" s="37" t="s">
        <v>178</v>
      </c>
      <c r="I73" s="37" t="s">
        <v>241</v>
      </c>
    </row>
    <row r="74" spans="1:9" ht="19.95" customHeight="1" x14ac:dyDescent="0.3">
      <c r="A74" s="37" t="s">
        <v>81</v>
      </c>
      <c r="B74" s="37" t="s">
        <v>165</v>
      </c>
      <c r="C74" s="37" t="s">
        <v>170</v>
      </c>
      <c r="D74" s="37" t="s">
        <v>174</v>
      </c>
      <c r="E74" s="37">
        <v>56512</v>
      </c>
      <c r="F74" s="40">
        <v>42512</v>
      </c>
      <c r="G74" s="37" t="s">
        <v>178</v>
      </c>
      <c r="H74" s="37" t="s">
        <v>179</v>
      </c>
      <c r="I74" s="37" t="s">
        <v>190</v>
      </c>
    </row>
    <row r="75" spans="1:9" ht="19.95" customHeight="1" x14ac:dyDescent="0.3">
      <c r="A75" s="37" t="s">
        <v>82</v>
      </c>
      <c r="B75" s="37" t="s">
        <v>161</v>
      </c>
      <c r="C75" s="37" t="s">
        <v>168</v>
      </c>
      <c r="D75" s="37" t="s">
        <v>174</v>
      </c>
      <c r="E75" s="37">
        <v>91101</v>
      </c>
      <c r="F75" s="40">
        <v>42519</v>
      </c>
      <c r="G75" s="37">
        <v>4</v>
      </c>
      <c r="H75" s="37" t="s">
        <v>181</v>
      </c>
      <c r="I75" s="37" t="s">
        <v>234</v>
      </c>
    </row>
    <row r="76" spans="1:9" ht="19.95" customHeight="1" x14ac:dyDescent="0.3">
      <c r="A76" s="37" t="s">
        <v>83</v>
      </c>
      <c r="B76" s="37" t="s">
        <v>163</v>
      </c>
      <c r="C76" s="37" t="s">
        <v>178</v>
      </c>
      <c r="D76" s="37" t="s">
        <v>172</v>
      </c>
      <c r="E76" s="37">
        <v>41243</v>
      </c>
      <c r="F76" s="40">
        <v>42526</v>
      </c>
      <c r="G76" s="37" t="s">
        <v>178</v>
      </c>
      <c r="H76" s="37" t="s">
        <v>178</v>
      </c>
      <c r="I76" s="37" t="s">
        <v>211</v>
      </c>
    </row>
    <row r="77" spans="1:9" ht="19.95" customHeight="1" x14ac:dyDescent="0.3">
      <c r="A77" s="37" t="s">
        <v>84</v>
      </c>
      <c r="B77" s="37" t="s">
        <v>178</v>
      </c>
      <c r="C77" s="37" t="s">
        <v>168</v>
      </c>
      <c r="D77" s="37" t="s">
        <v>178</v>
      </c>
      <c r="E77" s="37">
        <v>96142</v>
      </c>
      <c r="F77" s="40">
        <v>42533</v>
      </c>
      <c r="G77" s="37">
        <v>1</v>
      </c>
      <c r="H77" s="37" t="s">
        <v>179</v>
      </c>
      <c r="I77" s="37" t="s">
        <v>242</v>
      </c>
    </row>
    <row r="78" spans="1:9" ht="19.95" customHeight="1" x14ac:dyDescent="0.3">
      <c r="A78" s="37" t="s">
        <v>85</v>
      </c>
      <c r="B78" s="37" t="s">
        <v>159</v>
      </c>
      <c r="C78" s="37" t="s">
        <v>169</v>
      </c>
      <c r="D78" s="37" t="s">
        <v>174</v>
      </c>
      <c r="E78" s="37">
        <v>94301</v>
      </c>
      <c r="F78" s="40">
        <v>42540</v>
      </c>
      <c r="G78" s="37">
        <v>1</v>
      </c>
      <c r="H78" s="37" t="s">
        <v>180</v>
      </c>
      <c r="I78" s="37" t="s">
        <v>223</v>
      </c>
    </row>
    <row r="79" spans="1:9" ht="19.95" customHeight="1" x14ac:dyDescent="0.3">
      <c r="A79" s="37" t="s">
        <v>86</v>
      </c>
      <c r="B79" s="37" t="s">
        <v>162</v>
      </c>
      <c r="C79" s="37" t="s">
        <v>178</v>
      </c>
      <c r="D79" s="37" t="s">
        <v>175</v>
      </c>
      <c r="E79" s="37">
        <v>69166</v>
      </c>
      <c r="F79" s="40">
        <v>42547</v>
      </c>
      <c r="G79" s="37">
        <v>1</v>
      </c>
      <c r="H79" s="37" t="s">
        <v>181</v>
      </c>
      <c r="I79" s="37" t="s">
        <v>243</v>
      </c>
    </row>
    <row r="80" spans="1:9" ht="19.95" customHeight="1" x14ac:dyDescent="0.3">
      <c r="A80" s="37" t="s">
        <v>87</v>
      </c>
      <c r="B80" s="37" t="s">
        <v>163</v>
      </c>
      <c r="C80" s="37" t="s">
        <v>178</v>
      </c>
      <c r="D80" s="37" t="s">
        <v>175</v>
      </c>
      <c r="E80" s="37">
        <v>78245</v>
      </c>
      <c r="F80" s="40">
        <v>42554</v>
      </c>
      <c r="G80" s="37">
        <v>2</v>
      </c>
      <c r="H80" s="37" t="s">
        <v>178</v>
      </c>
      <c r="I80" s="37" t="s">
        <v>244</v>
      </c>
    </row>
    <row r="81" spans="1:9" ht="19.95" customHeight="1" x14ac:dyDescent="0.3">
      <c r="A81" s="37" t="s">
        <v>88</v>
      </c>
      <c r="B81" s="37" t="s">
        <v>164</v>
      </c>
      <c r="C81" s="37" t="s">
        <v>168</v>
      </c>
      <c r="D81" s="37" t="s">
        <v>173</v>
      </c>
      <c r="E81" s="37">
        <v>66079</v>
      </c>
      <c r="F81" s="40">
        <v>42561</v>
      </c>
      <c r="G81" s="37">
        <v>2</v>
      </c>
      <c r="H81" s="37" t="s">
        <v>179</v>
      </c>
      <c r="I81" s="37" t="s">
        <v>245</v>
      </c>
    </row>
    <row r="82" spans="1:9" ht="19.95" customHeight="1" x14ac:dyDescent="0.3">
      <c r="A82" s="37" t="s">
        <v>89</v>
      </c>
      <c r="B82" s="37" t="s">
        <v>159</v>
      </c>
      <c r="C82" s="37" t="s">
        <v>170</v>
      </c>
      <c r="D82" s="37" t="s">
        <v>174</v>
      </c>
      <c r="E82" s="37" t="s">
        <v>178</v>
      </c>
      <c r="F82" s="37" t="s">
        <v>178</v>
      </c>
      <c r="G82" s="37" t="s">
        <v>178</v>
      </c>
      <c r="H82" s="37" t="s">
        <v>178</v>
      </c>
      <c r="I82" s="37" t="s">
        <v>208</v>
      </c>
    </row>
    <row r="83" spans="1:9" ht="19.95" customHeight="1" x14ac:dyDescent="0.3">
      <c r="A83" s="37" t="s">
        <v>90</v>
      </c>
      <c r="B83" s="37" t="s">
        <v>162</v>
      </c>
      <c r="C83" s="37" t="s">
        <v>168</v>
      </c>
      <c r="D83" s="37" t="s">
        <v>173</v>
      </c>
      <c r="E83" s="37">
        <v>95621</v>
      </c>
      <c r="F83" s="40">
        <v>42575</v>
      </c>
      <c r="G83" s="37">
        <v>3</v>
      </c>
      <c r="H83" s="37" t="s">
        <v>181</v>
      </c>
      <c r="I83" s="37" t="s">
        <v>246</v>
      </c>
    </row>
    <row r="84" spans="1:9" ht="19.95" customHeight="1" x14ac:dyDescent="0.3">
      <c r="A84" s="37" t="s">
        <v>91</v>
      </c>
      <c r="B84" s="37" t="s">
        <v>159</v>
      </c>
      <c r="C84" s="37" t="s">
        <v>169</v>
      </c>
      <c r="D84" s="37" t="s">
        <v>175</v>
      </c>
      <c r="E84" s="37">
        <v>42262</v>
      </c>
      <c r="F84" s="40">
        <v>42582</v>
      </c>
      <c r="G84" s="37">
        <v>1</v>
      </c>
      <c r="H84" s="37" t="s">
        <v>178</v>
      </c>
      <c r="I84" s="37" t="s">
        <v>247</v>
      </c>
    </row>
    <row r="85" spans="1:9" ht="19.95" customHeight="1" x14ac:dyDescent="0.3">
      <c r="A85" s="37" t="s">
        <v>92</v>
      </c>
      <c r="B85" s="37" t="s">
        <v>163</v>
      </c>
      <c r="C85" s="37" t="s">
        <v>168</v>
      </c>
      <c r="D85" s="37" t="s">
        <v>174</v>
      </c>
      <c r="E85" s="37">
        <v>99621</v>
      </c>
      <c r="F85" s="40">
        <v>42589</v>
      </c>
      <c r="G85" s="37" t="s">
        <v>178</v>
      </c>
      <c r="H85" s="37" t="s">
        <v>179</v>
      </c>
      <c r="I85" s="37" t="s">
        <v>248</v>
      </c>
    </row>
    <row r="86" spans="1:9" ht="19.95" customHeight="1" x14ac:dyDescent="0.3">
      <c r="A86" s="37" t="s">
        <v>93</v>
      </c>
      <c r="B86" s="37" t="s">
        <v>161</v>
      </c>
      <c r="C86" s="37" t="s">
        <v>170</v>
      </c>
      <c r="D86" s="37" t="s">
        <v>174</v>
      </c>
      <c r="E86" s="37">
        <v>44682</v>
      </c>
      <c r="F86" s="40">
        <v>42596</v>
      </c>
      <c r="G86" s="37">
        <v>4</v>
      </c>
      <c r="H86" s="37" t="s">
        <v>181</v>
      </c>
      <c r="I86" s="37" t="s">
        <v>220</v>
      </c>
    </row>
    <row r="87" spans="1:9" ht="19.95" customHeight="1" x14ac:dyDescent="0.3">
      <c r="A87" s="37" t="s">
        <v>94</v>
      </c>
      <c r="B87" s="37" t="s">
        <v>164</v>
      </c>
      <c r="C87" s="37" t="s">
        <v>166</v>
      </c>
      <c r="D87" s="37" t="s">
        <v>178</v>
      </c>
      <c r="E87" s="37">
        <v>35163</v>
      </c>
      <c r="F87" s="40">
        <v>42603</v>
      </c>
      <c r="G87" s="37">
        <v>5</v>
      </c>
      <c r="H87" s="37" t="s">
        <v>179</v>
      </c>
      <c r="I87" s="37" t="s">
        <v>249</v>
      </c>
    </row>
    <row r="88" spans="1:9" ht="19.95" customHeight="1" x14ac:dyDescent="0.3">
      <c r="A88" s="37" t="s">
        <v>95</v>
      </c>
      <c r="B88" s="37" t="s">
        <v>164</v>
      </c>
      <c r="C88" s="37" t="s">
        <v>169</v>
      </c>
      <c r="D88" s="37" t="s">
        <v>174</v>
      </c>
      <c r="E88" s="37">
        <v>33483</v>
      </c>
      <c r="F88" s="40">
        <v>42610</v>
      </c>
      <c r="G88" s="37">
        <v>4</v>
      </c>
      <c r="H88" s="37" t="s">
        <v>180</v>
      </c>
      <c r="I88" s="37" t="s">
        <v>250</v>
      </c>
    </row>
    <row r="89" spans="1:9" ht="19.95" customHeight="1" x14ac:dyDescent="0.3">
      <c r="A89" s="37" t="s">
        <v>96</v>
      </c>
      <c r="B89" s="37" t="s">
        <v>163</v>
      </c>
      <c r="C89" s="37" t="s">
        <v>167</v>
      </c>
      <c r="D89" s="37" t="s">
        <v>172</v>
      </c>
      <c r="E89" s="37">
        <v>55303</v>
      </c>
      <c r="F89" s="40">
        <v>42617</v>
      </c>
      <c r="G89" s="37">
        <v>4</v>
      </c>
      <c r="H89" s="37" t="s">
        <v>180</v>
      </c>
      <c r="I89" s="37" t="s">
        <v>203</v>
      </c>
    </row>
    <row r="90" spans="1:9" ht="19.95" customHeight="1" x14ac:dyDescent="0.3">
      <c r="A90" s="37" t="s">
        <v>97</v>
      </c>
      <c r="B90" s="37" t="s">
        <v>164</v>
      </c>
      <c r="C90" s="37" t="s">
        <v>169</v>
      </c>
      <c r="D90" s="37" t="s">
        <v>178</v>
      </c>
      <c r="E90" s="37">
        <v>63434</v>
      </c>
      <c r="F90" s="40">
        <v>42624</v>
      </c>
      <c r="G90" s="37">
        <v>3</v>
      </c>
      <c r="H90" s="37" t="s">
        <v>178</v>
      </c>
      <c r="I90" s="37" t="s">
        <v>251</v>
      </c>
    </row>
    <row r="91" spans="1:9" ht="19.95" customHeight="1" x14ac:dyDescent="0.3">
      <c r="A91" s="37" t="s">
        <v>98</v>
      </c>
      <c r="B91" s="37" t="s">
        <v>162</v>
      </c>
      <c r="C91" s="37" t="s">
        <v>178</v>
      </c>
      <c r="D91" s="37" t="s">
        <v>176</v>
      </c>
      <c r="E91" s="37">
        <v>38830</v>
      </c>
      <c r="F91" s="40">
        <v>42631</v>
      </c>
      <c r="G91" s="37">
        <v>3</v>
      </c>
      <c r="H91" s="37" t="s">
        <v>179</v>
      </c>
      <c r="I91" s="37" t="s">
        <v>203</v>
      </c>
    </row>
    <row r="92" spans="1:9" ht="19.95" customHeight="1" x14ac:dyDescent="0.3">
      <c r="A92" s="37" t="s">
        <v>99</v>
      </c>
      <c r="B92" s="37" t="s">
        <v>178</v>
      </c>
      <c r="C92" s="37" t="s">
        <v>170</v>
      </c>
      <c r="D92" s="37" t="s">
        <v>175</v>
      </c>
      <c r="E92" s="37">
        <v>50741</v>
      </c>
      <c r="F92" s="40">
        <v>42638</v>
      </c>
      <c r="G92" s="37">
        <v>3</v>
      </c>
      <c r="H92" s="37" t="s">
        <v>178</v>
      </c>
      <c r="I92" s="37" t="s">
        <v>240</v>
      </c>
    </row>
    <row r="93" spans="1:9" ht="19.95" customHeight="1" x14ac:dyDescent="0.3">
      <c r="A93" s="37" t="s">
        <v>100</v>
      </c>
      <c r="B93" s="37" t="s">
        <v>160</v>
      </c>
      <c r="C93" s="37" t="s">
        <v>167</v>
      </c>
      <c r="D93" s="37" t="s">
        <v>176</v>
      </c>
      <c r="E93" s="37">
        <v>69420</v>
      </c>
      <c r="F93" s="40">
        <v>42645</v>
      </c>
      <c r="G93" s="37">
        <v>1</v>
      </c>
      <c r="H93" s="37" t="s">
        <v>180</v>
      </c>
      <c r="I93" s="37" t="s">
        <v>225</v>
      </c>
    </row>
    <row r="94" spans="1:9" ht="19.95" customHeight="1" x14ac:dyDescent="0.3">
      <c r="A94" s="37" t="s">
        <v>101</v>
      </c>
      <c r="B94" s="37" t="s">
        <v>162</v>
      </c>
      <c r="C94" s="37" t="s">
        <v>169</v>
      </c>
      <c r="D94" s="37" t="s">
        <v>178</v>
      </c>
      <c r="E94" s="37">
        <v>80588</v>
      </c>
      <c r="F94" s="40">
        <v>42652</v>
      </c>
      <c r="G94" s="37">
        <v>5</v>
      </c>
      <c r="H94" s="37" t="s">
        <v>180</v>
      </c>
      <c r="I94" s="37" t="s">
        <v>216</v>
      </c>
    </row>
    <row r="95" spans="1:9" ht="19.95" customHeight="1" x14ac:dyDescent="0.3">
      <c r="A95" s="37" t="s">
        <v>102</v>
      </c>
      <c r="B95" s="37" t="s">
        <v>160</v>
      </c>
      <c r="C95" s="37" t="s">
        <v>178</v>
      </c>
      <c r="D95" s="37" t="s">
        <v>173</v>
      </c>
      <c r="E95" s="37">
        <v>76238</v>
      </c>
      <c r="F95" s="40">
        <v>42659</v>
      </c>
      <c r="G95" s="37">
        <v>4</v>
      </c>
      <c r="H95" s="37" t="s">
        <v>180</v>
      </c>
      <c r="I95" s="37" t="s">
        <v>252</v>
      </c>
    </row>
    <row r="96" spans="1:9" ht="19.95" customHeight="1" x14ac:dyDescent="0.3">
      <c r="A96" s="37" t="s">
        <v>103</v>
      </c>
      <c r="B96" s="37" t="s">
        <v>165</v>
      </c>
      <c r="C96" s="37" t="s">
        <v>169</v>
      </c>
      <c r="D96" s="37" t="s">
        <v>174</v>
      </c>
      <c r="E96" s="37">
        <v>33264</v>
      </c>
      <c r="F96" s="40">
        <v>42666</v>
      </c>
      <c r="G96" s="37" t="s">
        <v>178</v>
      </c>
      <c r="H96" s="37" t="s">
        <v>181</v>
      </c>
      <c r="I96" s="37" t="s">
        <v>253</v>
      </c>
    </row>
    <row r="97" spans="1:9" ht="19.95" customHeight="1" x14ac:dyDescent="0.3">
      <c r="A97" s="37" t="s">
        <v>104</v>
      </c>
      <c r="B97" s="37" t="s">
        <v>160</v>
      </c>
      <c r="C97" s="37" t="s">
        <v>166</v>
      </c>
      <c r="D97" s="37" t="s">
        <v>176</v>
      </c>
      <c r="E97" s="37">
        <v>96101</v>
      </c>
      <c r="F97" s="40">
        <v>42673</v>
      </c>
      <c r="G97" s="37" t="s">
        <v>178</v>
      </c>
      <c r="H97" s="37" t="s">
        <v>179</v>
      </c>
      <c r="I97" s="37" t="s">
        <v>254</v>
      </c>
    </row>
    <row r="98" spans="1:9" ht="19.95" customHeight="1" x14ac:dyDescent="0.3">
      <c r="A98" s="37" t="s">
        <v>105</v>
      </c>
      <c r="B98" s="37" t="s">
        <v>162</v>
      </c>
      <c r="C98" s="37" t="s">
        <v>166</v>
      </c>
      <c r="D98" s="37" t="s">
        <v>173</v>
      </c>
      <c r="E98" s="37">
        <v>72939</v>
      </c>
      <c r="F98" s="40">
        <v>42680</v>
      </c>
      <c r="G98" s="37">
        <v>3</v>
      </c>
      <c r="H98" s="37" t="s">
        <v>178</v>
      </c>
      <c r="I98" s="37" t="s">
        <v>255</v>
      </c>
    </row>
    <row r="99" spans="1:9" ht="19.95" customHeight="1" x14ac:dyDescent="0.3">
      <c r="A99" s="37" t="s">
        <v>106</v>
      </c>
      <c r="B99" s="37" t="s">
        <v>163</v>
      </c>
      <c r="C99" s="37" t="s">
        <v>167</v>
      </c>
      <c r="D99" s="37" t="s">
        <v>172</v>
      </c>
      <c r="E99" s="37">
        <v>89333</v>
      </c>
      <c r="F99" s="40">
        <v>42687</v>
      </c>
      <c r="G99" s="37">
        <v>1</v>
      </c>
      <c r="H99" s="37" t="s">
        <v>180</v>
      </c>
      <c r="I99" s="37" t="s">
        <v>256</v>
      </c>
    </row>
    <row r="100" spans="1:9" ht="19.95" customHeight="1" x14ac:dyDescent="0.3">
      <c r="A100" s="37" t="s">
        <v>107</v>
      </c>
      <c r="B100" s="37" t="s">
        <v>165</v>
      </c>
      <c r="C100" s="37" t="s">
        <v>169</v>
      </c>
      <c r="D100" s="37" t="s">
        <v>176</v>
      </c>
      <c r="E100" s="37">
        <v>70470</v>
      </c>
      <c r="F100" s="40">
        <v>42694</v>
      </c>
      <c r="G100" s="37" t="s">
        <v>178</v>
      </c>
      <c r="H100" s="37" t="s">
        <v>180</v>
      </c>
      <c r="I100" s="37" t="s">
        <v>257</v>
      </c>
    </row>
    <row r="101" spans="1:9" ht="19.95" customHeight="1" x14ac:dyDescent="0.3">
      <c r="A101" s="37" t="s">
        <v>108</v>
      </c>
      <c r="B101" s="37" t="s">
        <v>159</v>
      </c>
      <c r="C101" s="37" t="s">
        <v>170</v>
      </c>
      <c r="D101" s="37" t="s">
        <v>173</v>
      </c>
      <c r="E101" s="37">
        <v>70096</v>
      </c>
      <c r="F101" s="40">
        <v>42701</v>
      </c>
      <c r="G101" s="37">
        <v>4</v>
      </c>
      <c r="H101" s="37" t="s">
        <v>180</v>
      </c>
      <c r="I101" s="37" t="s">
        <v>258</v>
      </c>
    </row>
    <row r="102" spans="1:9" ht="19.95" customHeight="1" x14ac:dyDescent="0.3">
      <c r="A102" s="37" t="s">
        <v>109</v>
      </c>
      <c r="B102" s="37" t="s">
        <v>165</v>
      </c>
      <c r="C102" s="37" t="s">
        <v>170</v>
      </c>
      <c r="D102" s="37" t="s">
        <v>178</v>
      </c>
      <c r="E102" s="37" t="s">
        <v>178</v>
      </c>
      <c r="F102" s="40">
        <v>42708</v>
      </c>
      <c r="G102" s="37">
        <v>2</v>
      </c>
      <c r="H102" s="37" t="s">
        <v>179</v>
      </c>
      <c r="I102" s="37" t="s">
        <v>259</v>
      </c>
    </row>
    <row r="103" spans="1:9" ht="19.95" customHeight="1" x14ac:dyDescent="0.3">
      <c r="A103" s="37" t="s">
        <v>110</v>
      </c>
      <c r="B103" s="37" t="s">
        <v>165</v>
      </c>
      <c r="C103" s="37" t="s">
        <v>169</v>
      </c>
      <c r="D103" s="37" t="s">
        <v>172</v>
      </c>
      <c r="E103" s="37">
        <v>66503</v>
      </c>
      <c r="F103" s="40">
        <v>42715</v>
      </c>
      <c r="G103" s="37" t="s">
        <v>178</v>
      </c>
      <c r="H103" s="37" t="s">
        <v>180</v>
      </c>
      <c r="I103" s="37" t="s">
        <v>200</v>
      </c>
    </row>
    <row r="104" spans="1:9" ht="19.95" customHeight="1" x14ac:dyDescent="0.3">
      <c r="A104" s="37" t="s">
        <v>111</v>
      </c>
      <c r="B104" s="37" t="s">
        <v>160</v>
      </c>
      <c r="C104" s="37" t="s">
        <v>167</v>
      </c>
      <c r="D104" s="37" t="s">
        <v>172</v>
      </c>
      <c r="E104" s="37">
        <v>42096</v>
      </c>
      <c r="F104" s="40">
        <v>42722</v>
      </c>
      <c r="G104" s="37" t="s">
        <v>178</v>
      </c>
      <c r="H104" s="37" t="s">
        <v>181</v>
      </c>
      <c r="I104" s="37" t="s">
        <v>260</v>
      </c>
    </row>
    <row r="105" spans="1:9" ht="19.95" customHeight="1" x14ac:dyDescent="0.3">
      <c r="A105" s="37" t="s">
        <v>112</v>
      </c>
      <c r="B105" s="37" t="s">
        <v>160</v>
      </c>
      <c r="C105" s="37" t="s">
        <v>170</v>
      </c>
      <c r="D105" s="37" t="s">
        <v>178</v>
      </c>
      <c r="E105" s="37">
        <v>79145</v>
      </c>
      <c r="F105" s="40">
        <v>42729</v>
      </c>
      <c r="G105" s="37">
        <v>5</v>
      </c>
      <c r="H105" s="37" t="s">
        <v>179</v>
      </c>
      <c r="I105" s="37" t="s">
        <v>223</v>
      </c>
    </row>
    <row r="106" spans="1:9" ht="19.95" customHeight="1" x14ac:dyDescent="0.3">
      <c r="A106" s="37" t="s">
        <v>113</v>
      </c>
      <c r="B106" s="37" t="s">
        <v>162</v>
      </c>
      <c r="C106" s="37" t="s">
        <v>178</v>
      </c>
      <c r="D106" s="37" t="s">
        <v>176</v>
      </c>
      <c r="E106" s="37">
        <v>61556</v>
      </c>
      <c r="F106" s="40">
        <v>42736</v>
      </c>
      <c r="G106" s="37">
        <v>1</v>
      </c>
      <c r="H106" s="37" t="s">
        <v>178</v>
      </c>
      <c r="I106" s="37" t="s">
        <v>259</v>
      </c>
    </row>
    <row r="107" spans="1:9" ht="19.95" customHeight="1" x14ac:dyDescent="0.3">
      <c r="A107" s="37" t="s">
        <v>114</v>
      </c>
      <c r="B107" s="37" t="s">
        <v>178</v>
      </c>
      <c r="C107" s="37" t="s">
        <v>167</v>
      </c>
      <c r="D107" s="37" t="s">
        <v>175</v>
      </c>
      <c r="E107" s="37">
        <v>87963</v>
      </c>
      <c r="F107" s="40">
        <v>42743</v>
      </c>
      <c r="G107" s="37">
        <v>3</v>
      </c>
      <c r="H107" s="37" t="s">
        <v>179</v>
      </c>
      <c r="I107" s="37" t="s">
        <v>178</v>
      </c>
    </row>
    <row r="108" spans="1:9" ht="19.95" customHeight="1" x14ac:dyDescent="0.3">
      <c r="A108" s="37" t="s">
        <v>115</v>
      </c>
      <c r="B108" s="37" t="s">
        <v>159</v>
      </c>
      <c r="C108" s="37" t="s">
        <v>169</v>
      </c>
      <c r="D108" s="37" t="s">
        <v>178</v>
      </c>
      <c r="E108" s="37">
        <v>48325</v>
      </c>
      <c r="F108" s="40">
        <v>42750</v>
      </c>
      <c r="G108" s="37" t="s">
        <v>178</v>
      </c>
      <c r="H108" s="37" t="s">
        <v>180</v>
      </c>
      <c r="I108" s="37" t="s">
        <v>261</v>
      </c>
    </row>
    <row r="109" spans="1:9" ht="19.95" customHeight="1" x14ac:dyDescent="0.3">
      <c r="A109" s="37" t="s">
        <v>116</v>
      </c>
      <c r="B109" s="37" t="s">
        <v>163</v>
      </c>
      <c r="C109" s="37" t="s">
        <v>170</v>
      </c>
      <c r="D109" s="37" t="s">
        <v>176</v>
      </c>
      <c r="E109" s="37">
        <v>86412</v>
      </c>
      <c r="F109" s="40">
        <v>42757</v>
      </c>
      <c r="G109" s="37">
        <v>2</v>
      </c>
      <c r="H109" s="37" t="s">
        <v>181</v>
      </c>
      <c r="I109" s="37" t="s">
        <v>202</v>
      </c>
    </row>
    <row r="110" spans="1:9" ht="19.95" customHeight="1" x14ac:dyDescent="0.3">
      <c r="A110" s="37" t="s">
        <v>117</v>
      </c>
      <c r="B110" s="37" t="s">
        <v>163</v>
      </c>
      <c r="C110" s="37" t="s">
        <v>167</v>
      </c>
      <c r="D110" s="37" t="s">
        <v>178</v>
      </c>
      <c r="E110" s="37">
        <v>66761</v>
      </c>
      <c r="F110" s="40">
        <v>42764</v>
      </c>
      <c r="G110" s="37">
        <v>1</v>
      </c>
      <c r="H110" s="37" t="s">
        <v>178</v>
      </c>
      <c r="I110" s="37" t="s">
        <v>262</v>
      </c>
    </row>
    <row r="111" spans="1:9" ht="19.95" customHeight="1" x14ac:dyDescent="0.3">
      <c r="A111" s="37" t="s">
        <v>118</v>
      </c>
      <c r="B111" s="37" t="s">
        <v>162</v>
      </c>
      <c r="C111" s="37" t="s">
        <v>178</v>
      </c>
      <c r="D111" s="37" t="s">
        <v>174</v>
      </c>
      <c r="E111" s="37">
        <v>88850</v>
      </c>
      <c r="F111" s="40">
        <v>42771</v>
      </c>
      <c r="G111" s="37">
        <v>1</v>
      </c>
      <c r="H111" s="37" t="s">
        <v>181</v>
      </c>
      <c r="I111" s="37" t="s">
        <v>263</v>
      </c>
    </row>
    <row r="112" spans="1:9" ht="19.95" customHeight="1" x14ac:dyDescent="0.3">
      <c r="A112" s="37" t="s">
        <v>119</v>
      </c>
      <c r="B112" s="37" t="s">
        <v>164</v>
      </c>
      <c r="C112" s="37" t="s">
        <v>168</v>
      </c>
      <c r="D112" s="37" t="s">
        <v>174</v>
      </c>
      <c r="E112" s="37">
        <v>31293</v>
      </c>
      <c r="F112" s="37" t="s">
        <v>178</v>
      </c>
      <c r="G112" s="37">
        <v>2</v>
      </c>
      <c r="H112" s="37" t="s">
        <v>181</v>
      </c>
      <c r="I112" s="37" t="s">
        <v>264</v>
      </c>
    </row>
    <row r="113" spans="1:9" ht="19.95" customHeight="1" x14ac:dyDescent="0.3">
      <c r="A113" s="37" t="s">
        <v>120</v>
      </c>
      <c r="B113" s="37" t="s">
        <v>164</v>
      </c>
      <c r="C113" s="37" t="s">
        <v>169</v>
      </c>
      <c r="D113" s="37" t="s">
        <v>173</v>
      </c>
      <c r="E113" s="37">
        <v>34306</v>
      </c>
      <c r="F113" s="40">
        <v>42785</v>
      </c>
      <c r="G113" s="37">
        <v>5</v>
      </c>
      <c r="H113" s="37" t="s">
        <v>181</v>
      </c>
      <c r="I113" s="37" t="s">
        <v>239</v>
      </c>
    </row>
    <row r="114" spans="1:9" ht="19.95" customHeight="1" x14ac:dyDescent="0.3">
      <c r="A114" s="37" t="s">
        <v>121</v>
      </c>
      <c r="B114" s="37" t="s">
        <v>159</v>
      </c>
      <c r="C114" s="37" t="s">
        <v>166</v>
      </c>
      <c r="D114" s="37" t="s">
        <v>174</v>
      </c>
      <c r="E114" s="37">
        <v>78330</v>
      </c>
      <c r="F114" s="40">
        <v>42792</v>
      </c>
      <c r="G114" s="37" t="s">
        <v>178</v>
      </c>
      <c r="H114" s="37" t="s">
        <v>179</v>
      </c>
      <c r="I114" s="37" t="s">
        <v>258</v>
      </c>
    </row>
    <row r="115" spans="1:9" ht="19.95" customHeight="1" x14ac:dyDescent="0.3">
      <c r="A115" s="37" t="s">
        <v>122</v>
      </c>
      <c r="B115" s="37" t="s">
        <v>160</v>
      </c>
      <c r="C115" s="37" t="s">
        <v>169</v>
      </c>
      <c r="D115" s="37" t="s">
        <v>173</v>
      </c>
      <c r="E115" s="37">
        <v>47653</v>
      </c>
      <c r="F115" s="40">
        <v>42799</v>
      </c>
      <c r="G115" s="37">
        <v>1</v>
      </c>
      <c r="H115" s="37" t="s">
        <v>180</v>
      </c>
      <c r="I115" s="37" t="s">
        <v>265</v>
      </c>
    </row>
    <row r="116" spans="1:9" ht="19.95" customHeight="1" x14ac:dyDescent="0.3">
      <c r="A116" s="37" t="s">
        <v>123</v>
      </c>
      <c r="B116" s="37" t="s">
        <v>159</v>
      </c>
      <c r="C116" s="37" t="s">
        <v>170</v>
      </c>
      <c r="D116" s="37" t="s">
        <v>175</v>
      </c>
      <c r="E116" s="37">
        <v>44627</v>
      </c>
      <c r="F116" s="40">
        <v>42806</v>
      </c>
      <c r="G116" s="37">
        <v>4</v>
      </c>
      <c r="H116" s="37" t="s">
        <v>178</v>
      </c>
      <c r="I116" s="37" t="s">
        <v>235</v>
      </c>
    </row>
    <row r="117" spans="1:9" ht="19.95" customHeight="1" x14ac:dyDescent="0.3">
      <c r="A117" s="37" t="s">
        <v>124</v>
      </c>
      <c r="B117" s="37" t="s">
        <v>165</v>
      </c>
      <c r="C117" s="37" t="s">
        <v>167</v>
      </c>
      <c r="D117" s="37" t="s">
        <v>172</v>
      </c>
      <c r="E117" s="37">
        <v>92343</v>
      </c>
      <c r="F117" s="40">
        <v>42813</v>
      </c>
      <c r="G117" s="37">
        <v>4</v>
      </c>
      <c r="H117" s="37" t="s">
        <v>181</v>
      </c>
      <c r="I117" s="37" t="s">
        <v>203</v>
      </c>
    </row>
    <row r="118" spans="1:9" ht="19.95" customHeight="1" x14ac:dyDescent="0.3">
      <c r="A118" s="37" t="s">
        <v>125</v>
      </c>
      <c r="B118" s="37" t="s">
        <v>165</v>
      </c>
      <c r="C118" s="37" t="s">
        <v>170</v>
      </c>
      <c r="D118" s="37" t="s">
        <v>176</v>
      </c>
      <c r="E118" s="37">
        <v>38837</v>
      </c>
      <c r="F118" s="40">
        <v>42820</v>
      </c>
      <c r="G118" s="37">
        <v>5</v>
      </c>
      <c r="H118" s="37" t="s">
        <v>181</v>
      </c>
      <c r="I118" s="37" t="s">
        <v>239</v>
      </c>
    </row>
    <row r="119" spans="1:9" ht="19.95" customHeight="1" x14ac:dyDescent="0.3">
      <c r="A119" s="37" t="s">
        <v>126</v>
      </c>
      <c r="B119" s="37" t="s">
        <v>165</v>
      </c>
      <c r="C119" s="37" t="s">
        <v>170</v>
      </c>
      <c r="D119" s="37" t="s">
        <v>178</v>
      </c>
      <c r="E119" s="37">
        <v>73483</v>
      </c>
      <c r="F119" s="40">
        <v>42827</v>
      </c>
      <c r="G119" s="37">
        <v>1</v>
      </c>
      <c r="H119" s="37" t="s">
        <v>178</v>
      </c>
      <c r="I119" s="37" t="s">
        <v>266</v>
      </c>
    </row>
    <row r="120" spans="1:9" ht="19.95" customHeight="1" x14ac:dyDescent="0.3">
      <c r="A120" s="37" t="s">
        <v>127</v>
      </c>
      <c r="B120" s="37" t="s">
        <v>164</v>
      </c>
      <c r="C120" s="37" t="s">
        <v>168</v>
      </c>
      <c r="D120" s="37" t="s">
        <v>174</v>
      </c>
      <c r="E120" s="37">
        <v>95032</v>
      </c>
      <c r="F120" s="40">
        <v>42834</v>
      </c>
      <c r="G120" s="37">
        <v>3</v>
      </c>
      <c r="H120" s="37" t="s">
        <v>178</v>
      </c>
      <c r="I120" s="37" t="s">
        <v>267</v>
      </c>
    </row>
    <row r="121" spans="1:9" ht="19.95" customHeight="1" x14ac:dyDescent="0.3">
      <c r="A121" s="37" t="s">
        <v>128</v>
      </c>
      <c r="B121" s="37" t="s">
        <v>159</v>
      </c>
      <c r="C121" s="37" t="s">
        <v>168</v>
      </c>
      <c r="D121" s="37" t="s">
        <v>176</v>
      </c>
      <c r="E121" s="37">
        <v>44358</v>
      </c>
      <c r="F121" s="40">
        <v>42841</v>
      </c>
      <c r="G121" s="37" t="s">
        <v>178</v>
      </c>
      <c r="H121" s="37" t="s">
        <v>181</v>
      </c>
      <c r="I121" s="37" t="s">
        <v>200</v>
      </c>
    </row>
    <row r="122" spans="1:9" ht="19.95" customHeight="1" x14ac:dyDescent="0.3">
      <c r="A122" s="37" t="s">
        <v>129</v>
      </c>
      <c r="B122" s="37" t="s">
        <v>178</v>
      </c>
      <c r="C122" s="37" t="s">
        <v>169</v>
      </c>
      <c r="D122" s="37" t="s">
        <v>173</v>
      </c>
      <c r="E122" s="37" t="s">
        <v>178</v>
      </c>
      <c r="F122" s="37" t="s">
        <v>178</v>
      </c>
      <c r="G122" s="37">
        <v>5</v>
      </c>
      <c r="H122" s="37" t="s">
        <v>178</v>
      </c>
      <c r="I122" s="37" t="s">
        <v>268</v>
      </c>
    </row>
    <row r="123" spans="1:9" ht="19.95" customHeight="1" x14ac:dyDescent="0.3">
      <c r="A123" s="37" t="s">
        <v>130</v>
      </c>
      <c r="B123" s="37" t="s">
        <v>164</v>
      </c>
      <c r="C123" s="37" t="s">
        <v>168</v>
      </c>
      <c r="D123" s="37" t="s">
        <v>173</v>
      </c>
      <c r="E123" s="37">
        <v>45676</v>
      </c>
      <c r="F123" s="40">
        <v>42855</v>
      </c>
      <c r="G123" s="37">
        <v>2</v>
      </c>
      <c r="H123" s="37" t="s">
        <v>178</v>
      </c>
      <c r="I123" s="37" t="s">
        <v>269</v>
      </c>
    </row>
    <row r="124" spans="1:9" ht="19.95" customHeight="1" x14ac:dyDescent="0.3">
      <c r="A124" s="37" t="s">
        <v>131</v>
      </c>
      <c r="B124" s="37" t="s">
        <v>165</v>
      </c>
      <c r="C124" s="37" t="s">
        <v>168</v>
      </c>
      <c r="D124" s="37" t="s">
        <v>172</v>
      </c>
      <c r="E124" s="37">
        <v>52036</v>
      </c>
      <c r="F124" s="40">
        <v>42862</v>
      </c>
      <c r="G124" s="37">
        <v>3</v>
      </c>
      <c r="H124" s="37" t="s">
        <v>180</v>
      </c>
      <c r="I124" s="37" t="s">
        <v>270</v>
      </c>
    </row>
    <row r="125" spans="1:9" ht="19.95" customHeight="1" x14ac:dyDescent="0.3">
      <c r="A125" s="37" t="s">
        <v>132</v>
      </c>
      <c r="B125" s="37" t="s">
        <v>162</v>
      </c>
      <c r="C125" s="37" t="s">
        <v>178</v>
      </c>
      <c r="D125" s="37" t="s">
        <v>172</v>
      </c>
      <c r="E125" s="37">
        <v>30357</v>
      </c>
      <c r="F125" s="40">
        <v>42869</v>
      </c>
      <c r="G125" s="37">
        <v>5</v>
      </c>
      <c r="H125" s="37" t="s">
        <v>180</v>
      </c>
      <c r="I125" s="37" t="s">
        <v>248</v>
      </c>
    </row>
    <row r="126" spans="1:9" ht="19.95" customHeight="1" x14ac:dyDescent="0.3">
      <c r="A126" s="37" t="s">
        <v>133</v>
      </c>
      <c r="B126" s="37" t="s">
        <v>161</v>
      </c>
      <c r="C126" s="37" t="s">
        <v>169</v>
      </c>
      <c r="D126" s="37" t="s">
        <v>178</v>
      </c>
      <c r="E126" s="37">
        <v>60034</v>
      </c>
      <c r="F126" s="40">
        <v>42876</v>
      </c>
      <c r="G126" s="37">
        <v>1</v>
      </c>
      <c r="H126" s="37" t="s">
        <v>181</v>
      </c>
      <c r="I126" s="37" t="s">
        <v>271</v>
      </c>
    </row>
    <row r="127" spans="1:9" ht="19.95" customHeight="1" x14ac:dyDescent="0.3">
      <c r="A127" s="37" t="s">
        <v>134</v>
      </c>
      <c r="B127" s="37" t="s">
        <v>161</v>
      </c>
      <c r="C127" s="37" t="s">
        <v>166</v>
      </c>
      <c r="D127" s="37" t="s">
        <v>178</v>
      </c>
      <c r="E127" s="37">
        <v>90019</v>
      </c>
      <c r="F127" s="40">
        <v>42883</v>
      </c>
      <c r="G127" s="37">
        <v>5</v>
      </c>
      <c r="H127" s="37" t="s">
        <v>178</v>
      </c>
      <c r="I127" s="37" t="s">
        <v>272</v>
      </c>
    </row>
    <row r="128" spans="1:9" ht="19.95" customHeight="1" x14ac:dyDescent="0.3">
      <c r="A128" s="37" t="s">
        <v>135</v>
      </c>
      <c r="B128" s="37" t="s">
        <v>165</v>
      </c>
      <c r="C128" s="37" t="s">
        <v>178</v>
      </c>
      <c r="D128" s="37" t="s">
        <v>172</v>
      </c>
      <c r="E128" s="37">
        <v>71494</v>
      </c>
      <c r="F128" s="40">
        <v>42890</v>
      </c>
      <c r="G128" s="37">
        <v>3</v>
      </c>
      <c r="H128" s="37" t="s">
        <v>180</v>
      </c>
      <c r="I128" s="37" t="s">
        <v>273</v>
      </c>
    </row>
    <row r="129" spans="1:9" ht="19.95" customHeight="1" x14ac:dyDescent="0.3">
      <c r="A129" s="37" t="s">
        <v>136</v>
      </c>
      <c r="B129" s="37" t="s">
        <v>161</v>
      </c>
      <c r="C129" s="37" t="s">
        <v>166</v>
      </c>
      <c r="D129" s="37" t="s">
        <v>173</v>
      </c>
      <c r="E129" s="37">
        <v>91953</v>
      </c>
      <c r="F129" s="40">
        <v>42897</v>
      </c>
      <c r="G129" s="37">
        <v>2</v>
      </c>
      <c r="H129" s="37" t="s">
        <v>180</v>
      </c>
      <c r="I129" s="37" t="s">
        <v>209</v>
      </c>
    </row>
    <row r="130" spans="1:9" ht="19.95" customHeight="1" x14ac:dyDescent="0.3">
      <c r="A130" s="37" t="s">
        <v>137</v>
      </c>
      <c r="B130" s="37" t="s">
        <v>164</v>
      </c>
      <c r="C130" s="37" t="s">
        <v>168</v>
      </c>
      <c r="D130" s="37" t="s">
        <v>173</v>
      </c>
      <c r="E130" s="37">
        <v>30402</v>
      </c>
      <c r="F130" s="40">
        <v>42904</v>
      </c>
      <c r="G130" s="37">
        <v>1</v>
      </c>
      <c r="H130" s="37" t="s">
        <v>178</v>
      </c>
      <c r="I130" s="37" t="s">
        <v>274</v>
      </c>
    </row>
    <row r="131" spans="1:9" ht="19.95" customHeight="1" x14ac:dyDescent="0.3">
      <c r="A131" s="37" t="s">
        <v>138</v>
      </c>
      <c r="B131" s="37" t="s">
        <v>165</v>
      </c>
      <c r="C131" s="37" t="s">
        <v>178</v>
      </c>
      <c r="D131" s="37" t="s">
        <v>175</v>
      </c>
      <c r="E131" s="37">
        <v>62994</v>
      </c>
      <c r="F131" s="40">
        <v>42911</v>
      </c>
      <c r="G131" s="37" t="s">
        <v>178</v>
      </c>
      <c r="H131" s="37" t="s">
        <v>178</v>
      </c>
      <c r="I131" s="37" t="s">
        <v>221</v>
      </c>
    </row>
    <row r="132" spans="1:9" ht="19.95" customHeight="1" x14ac:dyDescent="0.3">
      <c r="A132" s="37" t="s">
        <v>139</v>
      </c>
      <c r="B132" s="37" t="s">
        <v>160</v>
      </c>
      <c r="C132" s="37" t="s">
        <v>168</v>
      </c>
      <c r="D132" s="37" t="s">
        <v>174</v>
      </c>
      <c r="E132" s="37">
        <v>48289</v>
      </c>
      <c r="F132" s="37" t="s">
        <v>178</v>
      </c>
      <c r="G132" s="37">
        <v>3</v>
      </c>
      <c r="H132" s="37" t="s">
        <v>180</v>
      </c>
      <c r="I132" s="37" t="s">
        <v>189</v>
      </c>
    </row>
    <row r="133" spans="1:9" ht="19.95" customHeight="1" x14ac:dyDescent="0.3">
      <c r="A133" s="37" t="s">
        <v>140</v>
      </c>
      <c r="B133" s="37" t="s">
        <v>163</v>
      </c>
      <c r="C133" s="37" t="s">
        <v>170</v>
      </c>
      <c r="D133" s="37" t="s">
        <v>172</v>
      </c>
      <c r="E133" s="37">
        <v>34402</v>
      </c>
      <c r="F133" s="40">
        <v>42925</v>
      </c>
      <c r="G133" s="37">
        <v>3</v>
      </c>
      <c r="H133" s="37" t="s">
        <v>179</v>
      </c>
      <c r="I133" s="37" t="s">
        <v>218</v>
      </c>
    </row>
    <row r="134" spans="1:9" ht="19.95" customHeight="1" x14ac:dyDescent="0.3">
      <c r="A134" s="37" t="s">
        <v>141</v>
      </c>
      <c r="B134" s="37" t="s">
        <v>159</v>
      </c>
      <c r="C134" s="37" t="s">
        <v>167</v>
      </c>
      <c r="D134" s="37" t="s">
        <v>173</v>
      </c>
      <c r="E134" s="37">
        <v>38678</v>
      </c>
      <c r="F134" s="40">
        <v>42932</v>
      </c>
      <c r="G134" s="37">
        <v>3</v>
      </c>
      <c r="H134" s="37" t="s">
        <v>179</v>
      </c>
      <c r="I134" s="37" t="s">
        <v>275</v>
      </c>
    </row>
    <row r="135" spans="1:9" ht="19.95" customHeight="1" x14ac:dyDescent="0.3">
      <c r="A135" s="37" t="s">
        <v>142</v>
      </c>
      <c r="B135" s="37" t="s">
        <v>164</v>
      </c>
      <c r="C135" s="37" t="s">
        <v>167</v>
      </c>
      <c r="D135" s="37" t="s">
        <v>172</v>
      </c>
      <c r="E135" s="37">
        <v>45758</v>
      </c>
      <c r="F135" s="40">
        <v>42939</v>
      </c>
      <c r="G135" s="37">
        <v>3</v>
      </c>
      <c r="H135" s="37" t="s">
        <v>178</v>
      </c>
      <c r="I135" s="37" t="s">
        <v>264</v>
      </c>
    </row>
    <row r="136" spans="1:9" ht="19.95" customHeight="1" x14ac:dyDescent="0.3">
      <c r="A136" s="37" t="s">
        <v>143</v>
      </c>
      <c r="B136" s="37" t="s">
        <v>159</v>
      </c>
      <c r="C136" s="37" t="s">
        <v>170</v>
      </c>
      <c r="D136" s="37" t="s">
        <v>174</v>
      </c>
      <c r="E136" s="37">
        <v>62476</v>
      </c>
      <c r="F136" s="40">
        <v>42946</v>
      </c>
      <c r="G136" s="37">
        <v>1</v>
      </c>
      <c r="H136" s="37" t="s">
        <v>179</v>
      </c>
      <c r="I136" s="37" t="s">
        <v>231</v>
      </c>
    </row>
    <row r="137" spans="1:9" ht="19.95" customHeight="1" x14ac:dyDescent="0.3">
      <c r="A137" s="37" t="s">
        <v>144</v>
      </c>
      <c r="B137" s="37" t="s">
        <v>178</v>
      </c>
      <c r="C137" s="37" t="s">
        <v>169</v>
      </c>
      <c r="D137" s="37" t="s">
        <v>175</v>
      </c>
      <c r="E137" s="37">
        <v>39280</v>
      </c>
      <c r="F137" s="40">
        <v>42953</v>
      </c>
      <c r="G137" s="37">
        <v>3</v>
      </c>
      <c r="H137" s="37" t="s">
        <v>181</v>
      </c>
      <c r="I137" s="37" t="s">
        <v>214</v>
      </c>
    </row>
    <row r="138" spans="1:9" ht="19.95" customHeight="1" x14ac:dyDescent="0.3">
      <c r="A138" s="37" t="s">
        <v>145</v>
      </c>
      <c r="B138" s="37" t="s">
        <v>162</v>
      </c>
      <c r="C138" s="37" t="s">
        <v>166</v>
      </c>
      <c r="D138" s="37" t="s">
        <v>174</v>
      </c>
      <c r="E138" s="37">
        <v>60335</v>
      </c>
      <c r="F138" s="40">
        <v>42960</v>
      </c>
      <c r="G138" s="37">
        <v>4</v>
      </c>
      <c r="H138" s="37" t="s">
        <v>179</v>
      </c>
      <c r="I138" s="37" t="s">
        <v>227</v>
      </c>
    </row>
    <row r="139" spans="1:9" ht="19.95" customHeight="1" x14ac:dyDescent="0.3">
      <c r="A139" s="37" t="s">
        <v>146</v>
      </c>
      <c r="B139" s="37" t="s">
        <v>164</v>
      </c>
      <c r="C139" s="37" t="s">
        <v>167</v>
      </c>
      <c r="D139" s="37" t="s">
        <v>172</v>
      </c>
      <c r="E139" s="37">
        <v>84968</v>
      </c>
      <c r="F139" s="40">
        <v>42967</v>
      </c>
      <c r="G139" s="37" t="s">
        <v>178</v>
      </c>
      <c r="H139" s="37" t="s">
        <v>178</v>
      </c>
      <c r="I139" s="37" t="s">
        <v>276</v>
      </c>
    </row>
    <row r="140" spans="1:9" ht="19.95" customHeight="1" x14ac:dyDescent="0.3">
      <c r="A140" s="37" t="s">
        <v>147</v>
      </c>
      <c r="B140" s="37" t="s">
        <v>164</v>
      </c>
      <c r="C140" s="37" t="s">
        <v>170</v>
      </c>
      <c r="D140" s="37" t="s">
        <v>176</v>
      </c>
      <c r="E140" s="37">
        <v>84750</v>
      </c>
      <c r="F140" s="40">
        <v>42974</v>
      </c>
      <c r="G140" s="37">
        <v>4</v>
      </c>
      <c r="H140" s="37" t="s">
        <v>181</v>
      </c>
      <c r="I140" s="37" t="s">
        <v>195</v>
      </c>
    </row>
    <row r="141" spans="1:9" ht="19.95" customHeight="1" x14ac:dyDescent="0.3">
      <c r="A141" s="37" t="s">
        <v>148</v>
      </c>
      <c r="B141" s="37" t="s">
        <v>165</v>
      </c>
      <c r="C141" s="37" t="s">
        <v>169</v>
      </c>
      <c r="D141" s="37" t="s">
        <v>178</v>
      </c>
      <c r="E141" s="37">
        <v>73348</v>
      </c>
      <c r="F141" s="40">
        <v>42981</v>
      </c>
      <c r="G141" s="37">
        <v>2</v>
      </c>
      <c r="H141" s="37" t="s">
        <v>178</v>
      </c>
      <c r="I141" s="37" t="s">
        <v>243</v>
      </c>
    </row>
    <row r="142" spans="1:9" ht="19.95" customHeight="1" x14ac:dyDescent="0.3">
      <c r="A142" s="37" t="s">
        <v>149</v>
      </c>
      <c r="B142" s="37" t="s">
        <v>164</v>
      </c>
      <c r="C142" s="37" t="s">
        <v>168</v>
      </c>
      <c r="D142" s="37" t="s">
        <v>173</v>
      </c>
      <c r="E142" s="37" t="s">
        <v>178</v>
      </c>
      <c r="F142" s="40">
        <v>42988</v>
      </c>
      <c r="G142" s="37">
        <v>4</v>
      </c>
      <c r="H142" s="37" t="s">
        <v>179</v>
      </c>
      <c r="I142" s="37" t="s">
        <v>178</v>
      </c>
    </row>
    <row r="143" spans="1:9" ht="19.95" customHeight="1" x14ac:dyDescent="0.3">
      <c r="A143" s="37" t="s">
        <v>150</v>
      </c>
      <c r="B143" s="37" t="s">
        <v>162</v>
      </c>
      <c r="C143" s="37" t="s">
        <v>170</v>
      </c>
      <c r="D143" s="37" t="s">
        <v>173</v>
      </c>
      <c r="E143" s="37">
        <v>66882</v>
      </c>
      <c r="F143" s="40">
        <v>42995</v>
      </c>
      <c r="G143" s="37">
        <v>5</v>
      </c>
      <c r="H143" s="37" t="s">
        <v>179</v>
      </c>
      <c r="I143" s="37" t="s">
        <v>207</v>
      </c>
    </row>
    <row r="144" spans="1:9" ht="19.95" customHeight="1" x14ac:dyDescent="0.3">
      <c r="A144" s="37" t="s">
        <v>151</v>
      </c>
      <c r="B144" s="37" t="s">
        <v>160</v>
      </c>
      <c r="C144" s="37" t="s">
        <v>170</v>
      </c>
      <c r="D144" s="37" t="s">
        <v>178</v>
      </c>
      <c r="E144" s="37">
        <v>86775</v>
      </c>
      <c r="F144" s="40">
        <v>43002</v>
      </c>
      <c r="G144" s="37">
        <v>3</v>
      </c>
      <c r="H144" s="37" t="s">
        <v>179</v>
      </c>
      <c r="I144" s="37" t="s">
        <v>212</v>
      </c>
    </row>
    <row r="145" spans="1:9" ht="19.95" customHeight="1" x14ac:dyDescent="0.3">
      <c r="A145" s="37" t="s">
        <v>152</v>
      </c>
      <c r="B145" s="37" t="s">
        <v>164</v>
      </c>
      <c r="C145" s="37" t="s">
        <v>168</v>
      </c>
      <c r="D145" s="37" t="s">
        <v>175</v>
      </c>
      <c r="E145" s="37">
        <v>91620</v>
      </c>
      <c r="F145" s="40">
        <v>43009</v>
      </c>
      <c r="G145" s="37" t="s">
        <v>178</v>
      </c>
      <c r="H145" s="37" t="s">
        <v>178</v>
      </c>
      <c r="I145" s="37" t="s">
        <v>277</v>
      </c>
    </row>
    <row r="146" spans="1:9" ht="19.95" customHeight="1" x14ac:dyDescent="0.3">
      <c r="A146" s="37" t="s">
        <v>153</v>
      </c>
      <c r="B146" s="37" t="s">
        <v>159</v>
      </c>
      <c r="C146" s="37" t="s">
        <v>178</v>
      </c>
      <c r="D146" s="37" t="s">
        <v>178</v>
      </c>
      <c r="E146" s="37">
        <v>94148</v>
      </c>
      <c r="F146" s="40">
        <v>43016</v>
      </c>
      <c r="G146" s="37">
        <v>2</v>
      </c>
      <c r="H146" s="37" t="s">
        <v>178</v>
      </c>
      <c r="I146" s="37" t="s">
        <v>278</v>
      </c>
    </row>
    <row r="147" spans="1:9" ht="19.95" customHeight="1" x14ac:dyDescent="0.3">
      <c r="A147" s="37" t="s">
        <v>154</v>
      </c>
      <c r="B147" s="37" t="s">
        <v>163</v>
      </c>
      <c r="C147" s="37" t="s">
        <v>168</v>
      </c>
      <c r="D147" s="37" t="s">
        <v>176</v>
      </c>
      <c r="E147" s="37">
        <v>35627</v>
      </c>
      <c r="F147" s="40">
        <v>43023</v>
      </c>
      <c r="G147" s="37">
        <v>5</v>
      </c>
      <c r="H147" s="37" t="s">
        <v>181</v>
      </c>
      <c r="I147" s="37" t="s">
        <v>275</v>
      </c>
    </row>
    <row r="148" spans="1:9" ht="19.95" customHeight="1" x14ac:dyDescent="0.3">
      <c r="A148" s="37" t="s">
        <v>155</v>
      </c>
      <c r="B148" s="37" t="s">
        <v>161</v>
      </c>
      <c r="C148" s="37" t="s">
        <v>170</v>
      </c>
      <c r="D148" s="37" t="s">
        <v>173</v>
      </c>
      <c r="E148" s="37">
        <v>57141</v>
      </c>
      <c r="F148" s="40">
        <v>43030</v>
      </c>
      <c r="G148" s="37">
        <v>2</v>
      </c>
      <c r="H148" s="37" t="s">
        <v>178</v>
      </c>
      <c r="I148" s="37" t="s">
        <v>276</v>
      </c>
    </row>
    <row r="149" spans="1:9" ht="19.95" customHeight="1" x14ac:dyDescent="0.3">
      <c r="A149" s="37" t="s">
        <v>156</v>
      </c>
      <c r="B149" s="37" t="s">
        <v>165</v>
      </c>
      <c r="C149" s="37" t="s">
        <v>168</v>
      </c>
      <c r="D149" s="37" t="s">
        <v>176</v>
      </c>
      <c r="E149" s="37">
        <v>65270</v>
      </c>
      <c r="F149" s="40">
        <v>43037</v>
      </c>
      <c r="G149" s="37">
        <v>1</v>
      </c>
      <c r="H149" s="37" t="s">
        <v>178</v>
      </c>
      <c r="I149" s="37" t="s">
        <v>279</v>
      </c>
    </row>
    <row r="150" spans="1:9" ht="19.95" customHeight="1" x14ac:dyDescent="0.3">
      <c r="A150" s="37" t="s">
        <v>157</v>
      </c>
      <c r="B150" s="37" t="s">
        <v>165</v>
      </c>
      <c r="C150" s="37" t="s">
        <v>178</v>
      </c>
      <c r="D150" s="37" t="s">
        <v>175</v>
      </c>
      <c r="E150" s="37">
        <v>67335</v>
      </c>
      <c r="F150" s="40">
        <v>43044</v>
      </c>
      <c r="G150" s="37">
        <v>1</v>
      </c>
      <c r="H150" s="37" t="s">
        <v>179</v>
      </c>
      <c r="I150" s="37" t="s">
        <v>233</v>
      </c>
    </row>
    <row r="151" spans="1:9" ht="19.95" customHeight="1" x14ac:dyDescent="0.3">
      <c r="A151" s="37" t="s">
        <v>158</v>
      </c>
      <c r="B151" s="37" t="s">
        <v>163</v>
      </c>
      <c r="C151" s="37" t="s">
        <v>170</v>
      </c>
      <c r="D151" s="37" t="s">
        <v>174</v>
      </c>
      <c r="E151" s="37">
        <v>98475</v>
      </c>
      <c r="F151" s="40">
        <v>43051</v>
      </c>
      <c r="G151" s="37">
        <v>5</v>
      </c>
      <c r="H151" s="37" t="s">
        <v>179</v>
      </c>
      <c r="I151" s="37" t="s">
        <v>280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B33C-DF41-49DF-BD75-FF1B46383F41}">
  <sheetPr>
    <tabColor theme="3" tint="0.39997558519241921"/>
  </sheetPr>
  <dimension ref="A1:I151"/>
  <sheetViews>
    <sheetView zoomScaleNormal="100" workbookViewId="0">
      <selection activeCell="C2" sqref="C2"/>
    </sheetView>
  </sheetViews>
  <sheetFormatPr defaultRowHeight="19.95" customHeight="1" x14ac:dyDescent="0.3"/>
  <cols>
    <col min="1" max="5" width="20.77734375" style="34" customWidth="1"/>
    <col min="6" max="6" width="20.77734375" style="36" customWidth="1"/>
    <col min="7" max="9" width="20.77734375" style="34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35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37" t="s">
        <v>9</v>
      </c>
      <c r="B2" s="37" t="str">
        <f>VLOOKUP($A2,'Day-13 Clean Dataset'!$A:$I,2,FALSE)</f>
        <v>Unknown</v>
      </c>
      <c r="C2" s="37" t="str">
        <f>VLOOKUP($A2,'Day-13 Clean Dataset'!$A:$I,3,FALSE)</f>
        <v>Finance</v>
      </c>
      <c r="D2" s="37" t="str">
        <f>VLOOKUP($A2,'Day-13 Clean Dataset'!$A:$I,4,FALSE)</f>
        <v>Unknown</v>
      </c>
      <c r="E2" s="37" t="str">
        <f>VLOOKUP($A2,'Day-13 Clean Dataset'!$A:$I,5,FALSE)</f>
        <v>Unknown</v>
      </c>
      <c r="F2" s="38" t="str">
        <f>VLOOKUP($A2,'Day-13 Clean Dataset'!$A:$I,6,FALSE)</f>
        <v>Unknown</v>
      </c>
      <c r="G2" s="37">
        <f>VLOOKUP($A2,'Day-13 Clean Dataset'!$A:$I,7,FALSE)</f>
        <v>2</v>
      </c>
      <c r="H2" s="37" t="str">
        <f>VLOOKUP($A2,'Day-13 Clean Dataset'!$A:$I,8,FALSE)</f>
        <v>Unknown</v>
      </c>
      <c r="I2" s="37" t="str">
        <f>VLOOKUP($A2,'Day-13 Clean Dataset'!$A:$I,9,FALSE)</f>
        <v>Unknown</v>
      </c>
    </row>
    <row r="3" spans="1:9" ht="19.95" customHeight="1" x14ac:dyDescent="0.3">
      <c r="A3" s="37" t="s">
        <v>10</v>
      </c>
      <c r="B3" s="37" t="str">
        <f>VLOOKUP($A3,'Day-13 Clean Dataset'!$A:$I,2,FALSE)</f>
        <v>Eve Adams</v>
      </c>
      <c r="C3" s="37" t="str">
        <f>VLOOKUP($A3,'Day-13 Clean Dataset'!$A:$I,3,FALSE)</f>
        <v>HR</v>
      </c>
      <c r="D3" s="37" t="str">
        <f>VLOOKUP($A3,'Day-13 Clean Dataset'!$A:$I,4,FALSE)</f>
        <v>Germany</v>
      </c>
      <c r="E3" s="37">
        <f>VLOOKUP($A3,'Day-13 Clean Dataset'!$A:$I,5,FALSE)</f>
        <v>54255</v>
      </c>
      <c r="F3" s="38">
        <f>VLOOKUP($A3,'Day-13 Clean Dataset'!$A:$I,6,FALSE)</f>
        <v>42015</v>
      </c>
      <c r="G3" s="37">
        <f>VLOOKUP($A3,'Day-13 Clean Dataset'!$A:$I,7,FALSE)</f>
        <v>1</v>
      </c>
      <c r="H3" s="37" t="str">
        <f>VLOOKUP($A3,'Day-13 Clean Dataset'!$A:$I,8,FALSE)</f>
        <v>Other</v>
      </c>
      <c r="I3" s="37" t="str">
        <f>VLOOKUP($A3,'Day-13 Clean Dataset'!$A:$I,9,FALSE)</f>
        <v>user106@example.com</v>
      </c>
    </row>
    <row r="4" spans="1:9" ht="19.95" customHeight="1" x14ac:dyDescent="0.3">
      <c r="A4" s="37" t="s">
        <v>11</v>
      </c>
      <c r="B4" s="37" t="str">
        <f>VLOOKUP($A4,'Day-13 Clean Dataset'!$A:$I,2,FALSE)</f>
        <v>Alice Brown</v>
      </c>
      <c r="C4" s="37" t="str">
        <f>VLOOKUP($A4,'Day-13 Clean Dataset'!$A:$I,3,FALSE)</f>
        <v>Finance</v>
      </c>
      <c r="D4" s="37" t="str">
        <f>VLOOKUP($A4,'Day-13 Clean Dataset'!$A:$I,4,FALSE)</f>
        <v>Germany</v>
      </c>
      <c r="E4" s="37">
        <f>VLOOKUP($A4,'Day-13 Clean Dataset'!$A:$I,5,FALSE)</f>
        <v>63184</v>
      </c>
      <c r="F4" s="38">
        <f>VLOOKUP($A4,'Day-13 Clean Dataset'!$A:$I,6,FALSE)</f>
        <v>42022</v>
      </c>
      <c r="G4" s="37">
        <f>VLOOKUP($A4,'Day-13 Clean Dataset'!$A:$I,7,FALSE)</f>
        <v>2</v>
      </c>
      <c r="H4" s="37" t="str">
        <f>VLOOKUP($A4,'Day-13 Clean Dataset'!$A:$I,8,FALSE)</f>
        <v>Unknown</v>
      </c>
      <c r="I4" s="37" t="str">
        <f>VLOOKUP($A4,'Day-13 Clean Dataset'!$A:$I,9,FALSE)</f>
        <v>user176@example.com</v>
      </c>
    </row>
    <row r="5" spans="1:9" ht="19.95" customHeight="1" x14ac:dyDescent="0.3">
      <c r="A5" s="37" t="s">
        <v>12</v>
      </c>
      <c r="B5" s="37" t="str">
        <f>VLOOKUP($A5,'Day-13 Clean Dataset'!$A:$I,2,FALSE)</f>
        <v>John Doe</v>
      </c>
      <c r="C5" s="37" t="str">
        <f>VLOOKUP($A5,'Day-13 Clean Dataset'!$A:$I,3,FALSE)</f>
        <v>Sales</v>
      </c>
      <c r="D5" s="37" t="str">
        <f>VLOOKUP($A5,'Day-13 Clean Dataset'!$A:$I,4,FALSE)</f>
        <v>USA</v>
      </c>
      <c r="E5" s="37">
        <f>VLOOKUP($A5,'Day-13 Clean Dataset'!$A:$I,5,FALSE)</f>
        <v>94406</v>
      </c>
      <c r="F5" s="38">
        <f>VLOOKUP($A5,'Day-13 Clean Dataset'!$A:$I,6,FALSE)</f>
        <v>42029</v>
      </c>
      <c r="G5" s="37">
        <f>VLOOKUP($A5,'Day-13 Clean Dataset'!$A:$I,7,FALSE)</f>
        <v>1</v>
      </c>
      <c r="H5" s="37" t="str">
        <f>VLOOKUP($A5,'Day-13 Clean Dataset'!$A:$I,8,FALSE)</f>
        <v>Male</v>
      </c>
      <c r="I5" s="37" t="str">
        <f>VLOOKUP($A5,'Day-13 Clean Dataset'!$A:$I,9,FALSE)</f>
        <v>user168@example.com</v>
      </c>
    </row>
    <row r="6" spans="1:9" ht="19.95" customHeight="1" x14ac:dyDescent="0.3">
      <c r="A6" s="37" t="s">
        <v>13</v>
      </c>
      <c r="B6" s="37" t="str">
        <f>VLOOKUP($A6,'Day-13 Clean Dataset'!$A:$I,2,FALSE)</f>
        <v>Jane Smith</v>
      </c>
      <c r="C6" s="37" t="str">
        <f>VLOOKUP($A6,'Day-13 Clean Dataset'!$A:$I,3,FALSE)</f>
        <v>Sales</v>
      </c>
      <c r="D6" s="37" t="str">
        <f>VLOOKUP($A6,'Day-13 Clean Dataset'!$A:$I,4,FALSE)</f>
        <v>Germany</v>
      </c>
      <c r="E6" s="37">
        <f>VLOOKUP($A6,'Day-13 Clean Dataset'!$A:$I,5,FALSE)</f>
        <v>64120</v>
      </c>
      <c r="F6" s="38">
        <f>VLOOKUP($A6,'Day-13 Clean Dataset'!$A:$I,6,FALSE)</f>
        <v>42036</v>
      </c>
      <c r="G6" s="37">
        <f>VLOOKUP($A6,'Day-13 Clean Dataset'!$A:$I,7,FALSE)</f>
        <v>1</v>
      </c>
      <c r="H6" s="37" t="str">
        <f>VLOOKUP($A6,'Day-13 Clean Dataset'!$A:$I,8,FALSE)</f>
        <v>Male</v>
      </c>
      <c r="I6" s="37" t="str">
        <f>VLOOKUP($A6,'Day-13 Clean Dataset'!$A:$I,9,FALSE)</f>
        <v>user49@example.com</v>
      </c>
    </row>
    <row r="7" spans="1:9" ht="19.95" customHeight="1" x14ac:dyDescent="0.3">
      <c r="A7" s="37" t="s">
        <v>14</v>
      </c>
      <c r="B7" s="37" t="str">
        <f>VLOOKUP($A7,'Day-13 Clean Dataset'!$A:$I,2,FALSE)</f>
        <v>Alice Brown</v>
      </c>
      <c r="C7" s="37" t="str">
        <f>VLOOKUP($A7,'Day-13 Clean Dataset'!$A:$I,3,FALSE)</f>
        <v>IT</v>
      </c>
      <c r="D7" s="37" t="str">
        <f>VLOOKUP($A7,'Day-13 Clean Dataset'!$A:$I,4,FALSE)</f>
        <v>India</v>
      </c>
      <c r="E7" s="37">
        <f>VLOOKUP($A7,'Day-13 Clean Dataset'!$A:$I,5,FALSE)</f>
        <v>78421</v>
      </c>
      <c r="F7" s="38">
        <f>VLOOKUP($A7,'Day-13 Clean Dataset'!$A:$I,6,FALSE)</f>
        <v>42043</v>
      </c>
      <c r="G7" s="37">
        <f>VLOOKUP($A7,'Day-13 Clean Dataset'!$A:$I,7,FALSE)</f>
        <v>2</v>
      </c>
      <c r="H7" s="37" t="str">
        <f>VLOOKUP($A7,'Day-13 Clean Dataset'!$A:$I,8,FALSE)</f>
        <v>Female</v>
      </c>
      <c r="I7" s="37" t="str">
        <f>VLOOKUP($A7,'Day-13 Clean Dataset'!$A:$I,9,FALSE)</f>
        <v>user24@example.com</v>
      </c>
    </row>
    <row r="8" spans="1:9" ht="19.95" customHeight="1" x14ac:dyDescent="0.3">
      <c r="A8" s="37" t="s">
        <v>15</v>
      </c>
      <c r="B8" s="37" t="str">
        <f>VLOOKUP($A8,'Day-13 Clean Dataset'!$A:$I,2,FALSE)</f>
        <v>Sam Wilson</v>
      </c>
      <c r="C8" s="37" t="str">
        <f>VLOOKUP($A8,'Day-13 Clean Dataset'!$A:$I,3,FALSE)</f>
        <v>Sales</v>
      </c>
      <c r="D8" s="37" t="str">
        <f>VLOOKUP($A8,'Day-13 Clean Dataset'!$A:$I,4,FALSE)</f>
        <v>Unknown</v>
      </c>
      <c r="E8" s="37">
        <f>VLOOKUP($A8,'Day-13 Clean Dataset'!$A:$I,5,FALSE)</f>
        <v>67721</v>
      </c>
      <c r="F8" s="38">
        <f>VLOOKUP($A8,'Day-13 Clean Dataset'!$A:$I,6,FALSE)</f>
        <v>42050</v>
      </c>
      <c r="G8" s="37" t="str">
        <f>VLOOKUP($A8,'Day-13 Clean Dataset'!$A:$I,7,FALSE)</f>
        <v>Unknown</v>
      </c>
      <c r="H8" s="37" t="str">
        <f>VLOOKUP($A8,'Day-13 Clean Dataset'!$A:$I,8,FALSE)</f>
        <v>Male</v>
      </c>
      <c r="I8" s="37" t="str">
        <f>VLOOKUP($A8,'Day-13 Clean Dataset'!$A:$I,9,FALSE)</f>
        <v>user168@example.com</v>
      </c>
    </row>
    <row r="9" spans="1:9" ht="19.95" customHeight="1" x14ac:dyDescent="0.3">
      <c r="A9" s="37" t="s">
        <v>16</v>
      </c>
      <c r="B9" s="37" t="str">
        <f>VLOOKUP($A9,'Day-13 Clean Dataset'!$A:$I,2,FALSE)</f>
        <v>Chris Lee</v>
      </c>
      <c r="C9" s="37" t="str">
        <f>VLOOKUP($A9,'Day-13 Clean Dataset'!$A:$I,3,FALSE)</f>
        <v>Marketing</v>
      </c>
      <c r="D9" s="37" t="str">
        <f>VLOOKUP($A9,'Day-13 Clean Dataset'!$A:$I,4,FALSE)</f>
        <v>Unknown</v>
      </c>
      <c r="E9" s="37">
        <f>VLOOKUP($A9,'Day-13 Clean Dataset'!$A:$I,5,FALSE)</f>
        <v>35364</v>
      </c>
      <c r="F9" s="38">
        <f>VLOOKUP($A9,'Day-13 Clean Dataset'!$A:$I,6,FALSE)</f>
        <v>42057</v>
      </c>
      <c r="G9" s="37">
        <f>VLOOKUP($A9,'Day-13 Clean Dataset'!$A:$I,7,FALSE)</f>
        <v>2</v>
      </c>
      <c r="H9" s="37" t="str">
        <f>VLOOKUP($A9,'Day-13 Clean Dataset'!$A:$I,8,FALSE)</f>
        <v>Other</v>
      </c>
      <c r="I9" s="37" t="str">
        <f>VLOOKUP($A9,'Day-13 Clean Dataset'!$A:$I,9,FALSE)</f>
        <v>user26@example.com</v>
      </c>
    </row>
    <row r="10" spans="1:9" ht="19.95" customHeight="1" x14ac:dyDescent="0.3">
      <c r="A10" s="37" t="s">
        <v>17</v>
      </c>
      <c r="B10" s="37" t="str">
        <f>VLOOKUP($A10,'Day-13 Clean Dataset'!$A:$I,2,FALSE)</f>
        <v>Alice Brown</v>
      </c>
      <c r="C10" s="37" t="str">
        <f>VLOOKUP($A10,'Day-13 Clean Dataset'!$A:$I,3,FALSE)</f>
        <v>IT</v>
      </c>
      <c r="D10" s="37" t="str">
        <f>VLOOKUP($A10,'Day-13 Clean Dataset'!$A:$I,4,FALSE)</f>
        <v>Germany</v>
      </c>
      <c r="E10" s="37">
        <f>VLOOKUP($A10,'Day-13 Clean Dataset'!$A:$I,5,FALSE)</f>
        <v>97881</v>
      </c>
      <c r="F10" s="38">
        <f>VLOOKUP($A10,'Day-13 Clean Dataset'!$A:$I,6,FALSE)</f>
        <v>42064</v>
      </c>
      <c r="G10" s="37" t="str">
        <f>VLOOKUP($A10,'Day-13 Clean Dataset'!$A:$I,7,FALSE)</f>
        <v>Unknown</v>
      </c>
      <c r="H10" s="37" t="str">
        <f>VLOOKUP($A10,'Day-13 Clean Dataset'!$A:$I,8,FALSE)</f>
        <v>Female</v>
      </c>
      <c r="I10" s="37" t="str">
        <f>VLOOKUP($A10,'Day-13 Clean Dataset'!$A:$I,9,FALSE)</f>
        <v>user25@example.com</v>
      </c>
    </row>
    <row r="11" spans="1:9" ht="19.95" customHeight="1" x14ac:dyDescent="0.3">
      <c r="A11" s="37" t="s">
        <v>18</v>
      </c>
      <c r="B11" s="37" t="str">
        <f>VLOOKUP($A11,'Day-13 Clean Dataset'!$A:$I,2,FALSE)</f>
        <v>Chris Lee</v>
      </c>
      <c r="C11" s="37" t="str">
        <f>VLOOKUP($A11,'Day-13 Clean Dataset'!$A:$I,3,FALSE)</f>
        <v>HR</v>
      </c>
      <c r="D11" s="37" t="str">
        <f>VLOOKUP($A11,'Day-13 Clean Dataset'!$A:$I,4,FALSE)</f>
        <v>UK</v>
      </c>
      <c r="E11" s="37">
        <f>VLOOKUP($A11,'Day-13 Clean Dataset'!$A:$I,5,FALSE)</f>
        <v>91846</v>
      </c>
      <c r="F11" s="38">
        <f>VLOOKUP($A11,'Day-13 Clean Dataset'!$A:$I,6,FALSE)</f>
        <v>42071</v>
      </c>
      <c r="G11" s="37" t="str">
        <f>VLOOKUP($A11,'Day-13 Clean Dataset'!$A:$I,7,FALSE)</f>
        <v>Unknown</v>
      </c>
      <c r="H11" s="37" t="str">
        <f>VLOOKUP($A11,'Day-13 Clean Dataset'!$A:$I,8,FALSE)</f>
        <v>Male</v>
      </c>
      <c r="I11" s="37" t="str">
        <f>VLOOKUP($A11,'Day-13 Clean Dataset'!$A:$I,9,FALSE)</f>
        <v>user153@example.com</v>
      </c>
    </row>
    <row r="12" spans="1:9" ht="19.95" customHeight="1" x14ac:dyDescent="0.3">
      <c r="A12" s="37" t="s">
        <v>19</v>
      </c>
      <c r="B12" s="37" t="str">
        <f>VLOOKUP($A12,'Day-13 Clean Dataset'!$A:$I,2,FALSE)</f>
        <v>Sam Wilson</v>
      </c>
      <c r="C12" s="37" t="str">
        <f>VLOOKUP($A12,'Day-13 Clean Dataset'!$A:$I,3,FALSE)</f>
        <v>Finance</v>
      </c>
      <c r="D12" s="37" t="str">
        <f>VLOOKUP($A12,'Day-13 Clean Dataset'!$A:$I,4,FALSE)</f>
        <v>UK</v>
      </c>
      <c r="E12" s="37">
        <f>VLOOKUP($A12,'Day-13 Clean Dataset'!$A:$I,5,FALSE)</f>
        <v>64247</v>
      </c>
      <c r="F12" s="38">
        <f>VLOOKUP($A12,'Day-13 Clean Dataset'!$A:$I,6,FALSE)</f>
        <v>42078</v>
      </c>
      <c r="G12" s="37">
        <f>VLOOKUP($A12,'Day-13 Clean Dataset'!$A:$I,7,FALSE)</f>
        <v>1</v>
      </c>
      <c r="H12" s="37" t="str">
        <f>VLOOKUP($A12,'Day-13 Clean Dataset'!$A:$I,8,FALSE)</f>
        <v>Female</v>
      </c>
      <c r="I12" s="37" t="str">
        <f>VLOOKUP($A12,'Day-13 Clean Dataset'!$A:$I,9,FALSE)</f>
        <v>user18@example.com</v>
      </c>
    </row>
    <row r="13" spans="1:9" ht="19.95" customHeight="1" x14ac:dyDescent="0.3">
      <c r="A13" s="37" t="s">
        <v>20</v>
      </c>
      <c r="B13" s="37" t="str">
        <f>VLOOKUP($A13,'Day-13 Clean Dataset'!$A:$I,2,FALSE)</f>
        <v>Sam Wilson</v>
      </c>
      <c r="C13" s="37" t="str">
        <f>VLOOKUP($A13,'Day-13 Clean Dataset'!$A:$I,3,FALSE)</f>
        <v>IT</v>
      </c>
      <c r="D13" s="37" t="str">
        <f>VLOOKUP($A13,'Day-13 Clean Dataset'!$A:$I,4,FALSE)</f>
        <v>USA</v>
      </c>
      <c r="E13" s="37">
        <f>VLOOKUP($A13,'Day-13 Clean Dataset'!$A:$I,5,FALSE)</f>
        <v>91180</v>
      </c>
      <c r="F13" s="38">
        <f>VLOOKUP($A13,'Day-13 Clean Dataset'!$A:$I,6,FALSE)</f>
        <v>42085</v>
      </c>
      <c r="G13" s="37">
        <f>VLOOKUP($A13,'Day-13 Clean Dataset'!$A:$I,7,FALSE)</f>
        <v>5</v>
      </c>
      <c r="H13" s="37" t="str">
        <f>VLOOKUP($A13,'Day-13 Clean Dataset'!$A:$I,8,FALSE)</f>
        <v>Male</v>
      </c>
      <c r="I13" s="37" t="str">
        <f>VLOOKUP($A13,'Day-13 Clean Dataset'!$A:$I,9,FALSE)</f>
        <v>user1@example.com</v>
      </c>
    </row>
    <row r="14" spans="1:9" ht="19.95" customHeight="1" x14ac:dyDescent="0.3">
      <c r="A14" s="37" t="s">
        <v>21</v>
      </c>
      <c r="B14" s="37" t="str">
        <f>VLOOKUP($A14,'Day-13 Clean Dataset'!$A:$I,2,FALSE)</f>
        <v>Bob Johnson</v>
      </c>
      <c r="C14" s="37" t="str">
        <f>VLOOKUP($A14,'Day-13 Clean Dataset'!$A:$I,3,FALSE)</f>
        <v>Sales</v>
      </c>
      <c r="D14" s="37" t="str">
        <f>VLOOKUP($A14,'Day-13 Clean Dataset'!$A:$I,4,FALSE)</f>
        <v>Unknown</v>
      </c>
      <c r="E14" s="37">
        <f>VLOOKUP($A14,'Day-13 Clean Dataset'!$A:$I,5,FALSE)</f>
        <v>96418</v>
      </c>
      <c r="F14" s="38">
        <f>VLOOKUP($A14,'Day-13 Clean Dataset'!$A:$I,6,FALSE)</f>
        <v>42092</v>
      </c>
      <c r="G14" s="37">
        <f>VLOOKUP($A14,'Day-13 Clean Dataset'!$A:$I,7,FALSE)</f>
        <v>5</v>
      </c>
      <c r="H14" s="37" t="str">
        <f>VLOOKUP($A14,'Day-13 Clean Dataset'!$A:$I,8,FALSE)</f>
        <v>Male</v>
      </c>
      <c r="I14" s="37" t="str">
        <f>VLOOKUP($A14,'Day-13 Clean Dataset'!$A:$I,9,FALSE)</f>
        <v>user106@example.com</v>
      </c>
    </row>
    <row r="15" spans="1:9" ht="19.95" customHeight="1" x14ac:dyDescent="0.3">
      <c r="A15" s="37" t="s">
        <v>22</v>
      </c>
      <c r="B15" s="37" t="str">
        <f>VLOOKUP($A15,'Day-13 Clean Dataset'!$A:$I,2,FALSE)</f>
        <v>Sam Wilson</v>
      </c>
      <c r="C15" s="37" t="str">
        <f>VLOOKUP($A15,'Day-13 Clean Dataset'!$A:$I,3,FALSE)</f>
        <v>Unknown</v>
      </c>
      <c r="D15" s="37" t="str">
        <f>VLOOKUP($A15,'Day-13 Clean Dataset'!$A:$I,4,FALSE)</f>
        <v>India</v>
      </c>
      <c r="E15" s="37">
        <f>VLOOKUP($A15,'Day-13 Clean Dataset'!$A:$I,5,FALSE)</f>
        <v>62158</v>
      </c>
      <c r="F15" s="38">
        <f>VLOOKUP($A15,'Day-13 Clean Dataset'!$A:$I,6,FALSE)</f>
        <v>42099</v>
      </c>
      <c r="G15" s="37">
        <f>VLOOKUP($A15,'Day-13 Clean Dataset'!$A:$I,7,FALSE)</f>
        <v>4</v>
      </c>
      <c r="H15" s="37" t="str">
        <f>VLOOKUP($A15,'Day-13 Clean Dataset'!$A:$I,8,FALSE)</f>
        <v>Unknown</v>
      </c>
      <c r="I15" s="37" t="str">
        <f>VLOOKUP($A15,'Day-13 Clean Dataset'!$A:$I,9,FALSE)</f>
        <v>user180@example.com</v>
      </c>
    </row>
    <row r="16" spans="1:9" ht="19.95" customHeight="1" x14ac:dyDescent="0.3">
      <c r="A16" s="37" t="s">
        <v>23</v>
      </c>
      <c r="B16" s="37" t="str">
        <f>VLOOKUP($A16,'Day-13 Clean Dataset'!$A:$I,2,FALSE)</f>
        <v>Jane Smith</v>
      </c>
      <c r="C16" s="37" t="str">
        <f>VLOOKUP($A16,'Day-13 Clean Dataset'!$A:$I,3,FALSE)</f>
        <v>HR</v>
      </c>
      <c r="D16" s="37" t="str">
        <f>VLOOKUP($A16,'Day-13 Clean Dataset'!$A:$I,4,FALSE)</f>
        <v>Unknown</v>
      </c>
      <c r="E16" s="37">
        <f>VLOOKUP($A16,'Day-13 Clean Dataset'!$A:$I,5,FALSE)</f>
        <v>59894</v>
      </c>
      <c r="F16" s="38">
        <f>VLOOKUP($A16,'Day-13 Clean Dataset'!$A:$I,6,FALSE)</f>
        <v>42106</v>
      </c>
      <c r="G16" s="37">
        <f>VLOOKUP($A16,'Day-13 Clean Dataset'!$A:$I,7,FALSE)</f>
        <v>2</v>
      </c>
      <c r="H16" s="37" t="str">
        <f>VLOOKUP($A16,'Day-13 Clean Dataset'!$A:$I,8,FALSE)</f>
        <v>Male</v>
      </c>
      <c r="I16" s="37" t="str">
        <f>VLOOKUP($A16,'Day-13 Clean Dataset'!$A:$I,9,FALSE)</f>
        <v>user184@example.com</v>
      </c>
    </row>
    <row r="17" spans="1:9" ht="19.95" customHeight="1" x14ac:dyDescent="0.3">
      <c r="A17" s="37" t="s">
        <v>24</v>
      </c>
      <c r="B17" s="37" t="str">
        <f>VLOOKUP($A17,'Day-13 Clean Dataset'!$A:$I,2,FALSE)</f>
        <v>Unknown</v>
      </c>
      <c r="C17" s="37" t="str">
        <f>VLOOKUP($A17,'Day-13 Clean Dataset'!$A:$I,3,FALSE)</f>
        <v>IT</v>
      </c>
      <c r="D17" s="37" t="str">
        <f>VLOOKUP($A17,'Day-13 Clean Dataset'!$A:$I,4,FALSE)</f>
        <v>India</v>
      </c>
      <c r="E17" s="37">
        <f>VLOOKUP($A17,'Day-13 Clean Dataset'!$A:$I,5,FALSE)</f>
        <v>92443</v>
      </c>
      <c r="F17" s="38">
        <f>VLOOKUP($A17,'Day-13 Clean Dataset'!$A:$I,6,FALSE)</f>
        <v>42113</v>
      </c>
      <c r="G17" s="37">
        <f>VLOOKUP($A17,'Day-13 Clean Dataset'!$A:$I,7,FALSE)</f>
        <v>3</v>
      </c>
      <c r="H17" s="37" t="str">
        <f>VLOOKUP($A17,'Day-13 Clean Dataset'!$A:$I,8,FALSE)</f>
        <v>Other</v>
      </c>
      <c r="I17" s="37" t="str">
        <f>VLOOKUP($A17,'Day-13 Clean Dataset'!$A:$I,9,FALSE)</f>
        <v>user3@example.com</v>
      </c>
    </row>
    <row r="18" spans="1:9" ht="19.95" customHeight="1" x14ac:dyDescent="0.3">
      <c r="A18" s="37" t="s">
        <v>25</v>
      </c>
      <c r="B18" s="37" t="str">
        <f>VLOOKUP($A18,'Day-13 Clean Dataset'!$A:$I,2,FALSE)</f>
        <v>Bob Johnson</v>
      </c>
      <c r="C18" s="37" t="str">
        <f>VLOOKUP($A18,'Day-13 Clean Dataset'!$A:$I,3,FALSE)</f>
        <v>Unknown</v>
      </c>
      <c r="D18" s="37" t="str">
        <f>VLOOKUP($A18,'Day-13 Clean Dataset'!$A:$I,4,FALSE)</f>
        <v>Germany</v>
      </c>
      <c r="E18" s="37">
        <f>VLOOKUP($A18,'Day-13 Clean Dataset'!$A:$I,5,FALSE)</f>
        <v>90271</v>
      </c>
      <c r="F18" s="38">
        <f>VLOOKUP($A18,'Day-13 Clean Dataset'!$A:$I,6,FALSE)</f>
        <v>42120</v>
      </c>
      <c r="G18" s="37" t="str">
        <f>VLOOKUP($A18,'Day-13 Clean Dataset'!$A:$I,7,FALSE)</f>
        <v>Unknown</v>
      </c>
      <c r="H18" s="37" t="str">
        <f>VLOOKUP($A18,'Day-13 Clean Dataset'!$A:$I,8,FALSE)</f>
        <v>Unknown</v>
      </c>
      <c r="I18" s="37" t="str">
        <f>VLOOKUP($A18,'Day-13 Clean Dataset'!$A:$I,9,FALSE)</f>
        <v>user64@example.com</v>
      </c>
    </row>
    <row r="19" spans="1:9" ht="19.95" customHeight="1" x14ac:dyDescent="0.3">
      <c r="A19" s="37" t="s">
        <v>26</v>
      </c>
      <c r="B19" s="37" t="str">
        <f>VLOOKUP($A19,'Day-13 Clean Dataset'!$A:$I,2,FALSE)</f>
        <v>Jane Smith</v>
      </c>
      <c r="C19" s="37" t="str">
        <f>VLOOKUP($A19,'Day-13 Clean Dataset'!$A:$I,3,FALSE)</f>
        <v>Finance</v>
      </c>
      <c r="D19" s="37" t="str">
        <f>VLOOKUP($A19,'Day-13 Clean Dataset'!$A:$I,4,FALSE)</f>
        <v>Australia</v>
      </c>
      <c r="E19" s="37">
        <f>VLOOKUP($A19,'Day-13 Clean Dataset'!$A:$I,5,FALSE)</f>
        <v>41341</v>
      </c>
      <c r="F19" s="38">
        <f>VLOOKUP($A19,'Day-13 Clean Dataset'!$A:$I,6,FALSE)</f>
        <v>42127</v>
      </c>
      <c r="G19" s="37">
        <f>VLOOKUP($A19,'Day-13 Clean Dataset'!$A:$I,7,FALSE)</f>
        <v>1</v>
      </c>
      <c r="H19" s="37" t="str">
        <f>VLOOKUP($A19,'Day-13 Clean Dataset'!$A:$I,8,FALSE)</f>
        <v>Other</v>
      </c>
      <c r="I19" s="37" t="str">
        <f>VLOOKUP($A19,'Day-13 Clean Dataset'!$A:$I,9,FALSE)</f>
        <v>user38@example.com</v>
      </c>
    </row>
    <row r="20" spans="1:9" ht="19.95" customHeight="1" x14ac:dyDescent="0.3">
      <c r="A20" s="37" t="s">
        <v>27</v>
      </c>
      <c r="B20" s="37" t="str">
        <f>VLOOKUP($A20,'Day-13 Clean Dataset'!$A:$I,2,FALSE)</f>
        <v>Alice Brown</v>
      </c>
      <c r="C20" s="37" t="str">
        <f>VLOOKUP($A20,'Day-13 Clean Dataset'!$A:$I,3,FALSE)</f>
        <v>Finance</v>
      </c>
      <c r="D20" s="37" t="str">
        <f>VLOOKUP($A20,'Day-13 Clean Dataset'!$A:$I,4,FALSE)</f>
        <v>UK</v>
      </c>
      <c r="E20" s="37">
        <f>VLOOKUP($A20,'Day-13 Clean Dataset'!$A:$I,5,FALSE)</f>
        <v>73602</v>
      </c>
      <c r="F20" s="38">
        <f>VLOOKUP($A20,'Day-13 Clean Dataset'!$A:$I,6,FALSE)</f>
        <v>42134</v>
      </c>
      <c r="G20" s="37" t="str">
        <f>VLOOKUP($A20,'Day-13 Clean Dataset'!$A:$I,7,FALSE)</f>
        <v>Unknown</v>
      </c>
      <c r="H20" s="37" t="str">
        <f>VLOOKUP($A20,'Day-13 Clean Dataset'!$A:$I,8,FALSE)</f>
        <v>Unknown</v>
      </c>
      <c r="I20" s="37" t="str">
        <f>VLOOKUP($A20,'Day-13 Clean Dataset'!$A:$I,9,FALSE)</f>
        <v>user96@example.com</v>
      </c>
    </row>
    <row r="21" spans="1:9" ht="19.95" customHeight="1" x14ac:dyDescent="0.3">
      <c r="A21" s="37" t="s">
        <v>28</v>
      </c>
      <c r="B21" s="37" t="str">
        <f>VLOOKUP($A21,'Day-13 Clean Dataset'!$A:$I,2,FALSE)</f>
        <v>Eve Adams</v>
      </c>
      <c r="C21" s="37" t="str">
        <f>VLOOKUP($A21,'Day-13 Clean Dataset'!$A:$I,3,FALSE)</f>
        <v>Unknown</v>
      </c>
      <c r="D21" s="37" t="str">
        <f>VLOOKUP($A21,'Day-13 Clean Dataset'!$A:$I,4,FALSE)</f>
        <v>India</v>
      </c>
      <c r="E21" s="37">
        <f>VLOOKUP($A21,'Day-13 Clean Dataset'!$A:$I,5,FALSE)</f>
        <v>67531</v>
      </c>
      <c r="F21" s="38">
        <f>VLOOKUP($A21,'Day-13 Clean Dataset'!$A:$I,6,FALSE)</f>
        <v>42141</v>
      </c>
      <c r="G21" s="37">
        <f>VLOOKUP($A21,'Day-13 Clean Dataset'!$A:$I,7,FALSE)</f>
        <v>5</v>
      </c>
      <c r="H21" s="37" t="str">
        <f>VLOOKUP($A21,'Day-13 Clean Dataset'!$A:$I,8,FALSE)</f>
        <v>Female</v>
      </c>
      <c r="I21" s="37" t="str">
        <f>VLOOKUP($A21,'Day-13 Clean Dataset'!$A:$I,9,FALSE)</f>
        <v>user151@example.com</v>
      </c>
    </row>
    <row r="22" spans="1:9" ht="19.95" customHeight="1" x14ac:dyDescent="0.3">
      <c r="A22" s="37" t="s">
        <v>29</v>
      </c>
      <c r="B22" s="37" t="str">
        <f>VLOOKUP($A22,'Day-13 Clean Dataset'!$A:$I,2,FALSE)</f>
        <v>Jane Smith</v>
      </c>
      <c r="C22" s="37" t="str">
        <f>VLOOKUP($A22,'Day-13 Clean Dataset'!$A:$I,3,FALSE)</f>
        <v>HR</v>
      </c>
      <c r="D22" s="37" t="str">
        <f>VLOOKUP($A22,'Day-13 Clean Dataset'!$A:$I,4,FALSE)</f>
        <v>USA</v>
      </c>
      <c r="E22" s="37" t="str">
        <f>VLOOKUP($A22,'Day-13 Clean Dataset'!$A:$I,5,FALSE)</f>
        <v>Unknown</v>
      </c>
      <c r="F22" s="38">
        <f>VLOOKUP($A22,'Day-13 Clean Dataset'!$A:$I,6,FALSE)</f>
        <v>42148</v>
      </c>
      <c r="G22" s="37">
        <f>VLOOKUP($A22,'Day-13 Clean Dataset'!$A:$I,7,FALSE)</f>
        <v>2</v>
      </c>
      <c r="H22" s="37" t="str">
        <f>VLOOKUP($A22,'Day-13 Clean Dataset'!$A:$I,8,FALSE)</f>
        <v>Other</v>
      </c>
      <c r="I22" s="37" t="str">
        <f>VLOOKUP($A22,'Day-13 Clean Dataset'!$A:$I,9,FALSE)</f>
        <v>user200@example.com</v>
      </c>
    </row>
    <row r="23" spans="1:9" ht="19.95" customHeight="1" x14ac:dyDescent="0.3">
      <c r="A23" s="37" t="s">
        <v>30</v>
      </c>
      <c r="B23" s="37" t="str">
        <f>VLOOKUP($A23,'Day-13 Clean Dataset'!$A:$I,2,FALSE)</f>
        <v>Jane Smith</v>
      </c>
      <c r="C23" s="37" t="str">
        <f>VLOOKUP($A23,'Day-13 Clean Dataset'!$A:$I,3,FALSE)</f>
        <v>HR</v>
      </c>
      <c r="D23" s="37" t="str">
        <f>VLOOKUP($A23,'Day-13 Clean Dataset'!$A:$I,4,FALSE)</f>
        <v>Unknown</v>
      </c>
      <c r="E23" s="37">
        <f>VLOOKUP($A23,'Day-13 Clean Dataset'!$A:$I,5,FALSE)</f>
        <v>98922</v>
      </c>
      <c r="F23" s="38">
        <f>VLOOKUP($A23,'Day-13 Clean Dataset'!$A:$I,6,FALSE)</f>
        <v>42155</v>
      </c>
      <c r="G23" s="37">
        <f>VLOOKUP($A23,'Day-13 Clean Dataset'!$A:$I,7,FALSE)</f>
        <v>4</v>
      </c>
      <c r="H23" s="37" t="str">
        <f>VLOOKUP($A23,'Day-13 Clean Dataset'!$A:$I,8,FALSE)</f>
        <v>Unknown</v>
      </c>
      <c r="I23" s="37" t="str">
        <f>VLOOKUP($A23,'Day-13 Clean Dataset'!$A:$I,9,FALSE)</f>
        <v>user77@example.com</v>
      </c>
    </row>
    <row r="24" spans="1:9" ht="19.95" customHeight="1" x14ac:dyDescent="0.3">
      <c r="A24" s="37" t="s">
        <v>31</v>
      </c>
      <c r="B24" s="37" t="str">
        <f>VLOOKUP($A24,'Day-13 Clean Dataset'!$A:$I,2,FALSE)</f>
        <v>Eve Adams</v>
      </c>
      <c r="C24" s="37" t="str">
        <f>VLOOKUP($A24,'Day-13 Clean Dataset'!$A:$I,3,FALSE)</f>
        <v>Finance</v>
      </c>
      <c r="D24" s="37" t="str">
        <f>VLOOKUP($A24,'Day-13 Clean Dataset'!$A:$I,4,FALSE)</f>
        <v>India</v>
      </c>
      <c r="E24" s="37">
        <f>VLOOKUP($A24,'Day-13 Clean Dataset'!$A:$I,5,FALSE)</f>
        <v>38333</v>
      </c>
      <c r="F24" s="38">
        <f>VLOOKUP($A24,'Day-13 Clean Dataset'!$A:$I,6,FALSE)</f>
        <v>42162</v>
      </c>
      <c r="G24" s="37">
        <f>VLOOKUP($A24,'Day-13 Clean Dataset'!$A:$I,7,FALSE)</f>
        <v>5</v>
      </c>
      <c r="H24" s="37" t="str">
        <f>VLOOKUP($A24,'Day-13 Clean Dataset'!$A:$I,8,FALSE)</f>
        <v>Unknown</v>
      </c>
      <c r="I24" s="37" t="str">
        <f>VLOOKUP($A24,'Day-13 Clean Dataset'!$A:$I,9,FALSE)</f>
        <v>user128@example.com</v>
      </c>
    </row>
    <row r="25" spans="1:9" ht="19.95" customHeight="1" x14ac:dyDescent="0.3">
      <c r="A25" s="37" t="s">
        <v>32</v>
      </c>
      <c r="B25" s="37" t="str">
        <f>VLOOKUP($A25,'Day-13 Clean Dataset'!$A:$I,2,FALSE)</f>
        <v>Alice Brown</v>
      </c>
      <c r="C25" s="37" t="str">
        <f>VLOOKUP($A25,'Day-13 Clean Dataset'!$A:$I,3,FALSE)</f>
        <v>Marketing</v>
      </c>
      <c r="D25" s="37" t="str">
        <f>VLOOKUP($A25,'Day-13 Clean Dataset'!$A:$I,4,FALSE)</f>
        <v>UK</v>
      </c>
      <c r="E25" s="37">
        <f>VLOOKUP($A25,'Day-13 Clean Dataset'!$A:$I,5,FALSE)</f>
        <v>36515</v>
      </c>
      <c r="F25" s="38">
        <f>VLOOKUP($A25,'Day-13 Clean Dataset'!$A:$I,6,FALSE)</f>
        <v>42169</v>
      </c>
      <c r="G25" s="37">
        <f>VLOOKUP($A25,'Day-13 Clean Dataset'!$A:$I,7,FALSE)</f>
        <v>3</v>
      </c>
      <c r="H25" s="37" t="str">
        <f>VLOOKUP($A25,'Day-13 Clean Dataset'!$A:$I,8,FALSE)</f>
        <v>Male</v>
      </c>
      <c r="I25" s="37" t="str">
        <f>VLOOKUP($A25,'Day-13 Clean Dataset'!$A:$I,9,FALSE)</f>
        <v>user149@example.com</v>
      </c>
    </row>
    <row r="26" spans="1:9" ht="19.95" customHeight="1" x14ac:dyDescent="0.3">
      <c r="A26" s="37" t="s">
        <v>33</v>
      </c>
      <c r="B26" s="37" t="str">
        <f>VLOOKUP($A26,'Day-13 Clean Dataset'!$A:$I,2,FALSE)</f>
        <v>Sam Wilson</v>
      </c>
      <c r="C26" s="37" t="str">
        <f>VLOOKUP($A26,'Day-13 Clean Dataset'!$A:$I,3,FALSE)</f>
        <v>Finance</v>
      </c>
      <c r="D26" s="37" t="str">
        <f>VLOOKUP($A26,'Day-13 Clean Dataset'!$A:$I,4,FALSE)</f>
        <v>Unknown</v>
      </c>
      <c r="E26" s="37">
        <f>VLOOKUP($A26,'Day-13 Clean Dataset'!$A:$I,5,FALSE)</f>
        <v>91005</v>
      </c>
      <c r="F26" s="38">
        <f>VLOOKUP($A26,'Day-13 Clean Dataset'!$A:$I,6,FALSE)</f>
        <v>42176</v>
      </c>
      <c r="G26" s="37">
        <f>VLOOKUP($A26,'Day-13 Clean Dataset'!$A:$I,7,FALSE)</f>
        <v>1</v>
      </c>
      <c r="H26" s="37" t="str">
        <f>VLOOKUP($A26,'Day-13 Clean Dataset'!$A:$I,8,FALSE)</f>
        <v>Other</v>
      </c>
      <c r="I26" s="37" t="str">
        <f>VLOOKUP($A26,'Day-13 Clean Dataset'!$A:$I,9,FALSE)</f>
        <v>user122@example.com</v>
      </c>
    </row>
    <row r="27" spans="1:9" ht="19.95" customHeight="1" x14ac:dyDescent="0.3">
      <c r="A27" s="37" t="s">
        <v>34</v>
      </c>
      <c r="B27" s="37" t="str">
        <f>VLOOKUP($A27,'Day-13 Clean Dataset'!$A:$I,2,FALSE)</f>
        <v>Chris Lee</v>
      </c>
      <c r="C27" s="37" t="str">
        <f>VLOOKUP($A27,'Day-13 Clean Dataset'!$A:$I,3,FALSE)</f>
        <v>Unknown</v>
      </c>
      <c r="D27" s="37" t="str">
        <f>VLOOKUP($A27,'Day-13 Clean Dataset'!$A:$I,4,FALSE)</f>
        <v>Unknown</v>
      </c>
      <c r="E27" s="37">
        <f>VLOOKUP($A27,'Day-13 Clean Dataset'!$A:$I,5,FALSE)</f>
        <v>52272</v>
      </c>
      <c r="F27" s="38">
        <f>VLOOKUP($A27,'Day-13 Clean Dataset'!$A:$I,6,FALSE)</f>
        <v>42183</v>
      </c>
      <c r="G27" s="37">
        <f>VLOOKUP($A27,'Day-13 Clean Dataset'!$A:$I,7,FALSE)</f>
        <v>3</v>
      </c>
      <c r="H27" s="37" t="str">
        <f>VLOOKUP($A27,'Day-13 Clean Dataset'!$A:$I,8,FALSE)</f>
        <v>Unknown</v>
      </c>
      <c r="I27" s="37" t="str">
        <f>VLOOKUP($A27,'Day-13 Clean Dataset'!$A:$I,9,FALSE)</f>
        <v>user41@example.com</v>
      </c>
    </row>
    <row r="28" spans="1:9" ht="19.95" customHeight="1" x14ac:dyDescent="0.3">
      <c r="A28" s="37" t="s">
        <v>35</v>
      </c>
      <c r="B28" s="37" t="str">
        <f>VLOOKUP($A28,'Day-13 Clean Dataset'!$A:$I,2,FALSE)</f>
        <v>Eve Adams</v>
      </c>
      <c r="C28" s="37" t="str">
        <f>VLOOKUP($A28,'Day-13 Clean Dataset'!$A:$I,3,FALSE)</f>
        <v>Sales</v>
      </c>
      <c r="D28" s="37" t="str">
        <f>VLOOKUP($A28,'Day-13 Clean Dataset'!$A:$I,4,FALSE)</f>
        <v>Germany</v>
      </c>
      <c r="E28" s="37">
        <f>VLOOKUP($A28,'Day-13 Clean Dataset'!$A:$I,5,FALSE)</f>
        <v>76518</v>
      </c>
      <c r="F28" s="38">
        <f>VLOOKUP($A28,'Day-13 Clean Dataset'!$A:$I,6,FALSE)</f>
        <v>42190</v>
      </c>
      <c r="G28" s="37">
        <f>VLOOKUP($A28,'Day-13 Clean Dataset'!$A:$I,7,FALSE)</f>
        <v>2</v>
      </c>
      <c r="H28" s="37" t="str">
        <f>VLOOKUP($A28,'Day-13 Clean Dataset'!$A:$I,8,FALSE)</f>
        <v>Female</v>
      </c>
      <c r="I28" s="37" t="str">
        <f>VLOOKUP($A28,'Day-13 Clean Dataset'!$A:$I,9,FALSE)</f>
        <v>user68@example.com</v>
      </c>
    </row>
    <row r="29" spans="1:9" ht="19.95" customHeight="1" x14ac:dyDescent="0.3">
      <c r="A29" s="37" t="s">
        <v>36</v>
      </c>
      <c r="B29" s="37" t="str">
        <f>VLOOKUP($A29,'Day-13 Clean Dataset'!$A:$I,2,FALSE)</f>
        <v>Alice Brown</v>
      </c>
      <c r="C29" s="37" t="str">
        <f>VLOOKUP($A29,'Day-13 Clean Dataset'!$A:$I,3,FALSE)</f>
        <v>IT</v>
      </c>
      <c r="D29" s="37" t="str">
        <f>VLOOKUP($A29,'Day-13 Clean Dataset'!$A:$I,4,FALSE)</f>
        <v>UK</v>
      </c>
      <c r="E29" s="37">
        <f>VLOOKUP($A29,'Day-13 Clean Dataset'!$A:$I,5,FALSE)</f>
        <v>41448</v>
      </c>
      <c r="F29" s="38">
        <f>VLOOKUP($A29,'Day-13 Clean Dataset'!$A:$I,6,FALSE)</f>
        <v>42197</v>
      </c>
      <c r="G29" s="37">
        <f>VLOOKUP($A29,'Day-13 Clean Dataset'!$A:$I,7,FALSE)</f>
        <v>3</v>
      </c>
      <c r="H29" s="37" t="str">
        <f>VLOOKUP($A29,'Day-13 Clean Dataset'!$A:$I,8,FALSE)</f>
        <v>Other</v>
      </c>
      <c r="I29" s="37" t="str">
        <f>VLOOKUP($A29,'Day-13 Clean Dataset'!$A:$I,9,FALSE)</f>
        <v>user103@example.com</v>
      </c>
    </row>
    <row r="30" spans="1:9" ht="19.95" customHeight="1" x14ac:dyDescent="0.3">
      <c r="A30" s="37" t="s">
        <v>37</v>
      </c>
      <c r="B30" s="37" t="str">
        <f>VLOOKUP($A30,'Day-13 Clean Dataset'!$A:$I,2,FALSE)</f>
        <v>John Doe</v>
      </c>
      <c r="C30" s="37" t="str">
        <f>VLOOKUP($A30,'Day-13 Clean Dataset'!$A:$I,3,FALSE)</f>
        <v>HR</v>
      </c>
      <c r="D30" s="37" t="str">
        <f>VLOOKUP($A30,'Day-13 Clean Dataset'!$A:$I,4,FALSE)</f>
        <v>UK</v>
      </c>
      <c r="E30" s="37">
        <f>VLOOKUP($A30,'Day-13 Clean Dataset'!$A:$I,5,FALSE)</f>
        <v>49282</v>
      </c>
      <c r="F30" s="38">
        <f>VLOOKUP($A30,'Day-13 Clean Dataset'!$A:$I,6,FALSE)</f>
        <v>42204</v>
      </c>
      <c r="G30" s="37">
        <f>VLOOKUP($A30,'Day-13 Clean Dataset'!$A:$I,7,FALSE)</f>
        <v>2</v>
      </c>
      <c r="H30" s="37" t="str">
        <f>VLOOKUP($A30,'Day-13 Clean Dataset'!$A:$I,8,FALSE)</f>
        <v>Female</v>
      </c>
      <c r="I30" s="37" t="str">
        <f>VLOOKUP($A30,'Day-13 Clean Dataset'!$A:$I,9,FALSE)</f>
        <v>user135@example.com</v>
      </c>
    </row>
    <row r="31" spans="1:9" ht="19.95" customHeight="1" x14ac:dyDescent="0.3">
      <c r="A31" s="37" t="s">
        <v>38</v>
      </c>
      <c r="B31" s="37" t="str">
        <f>VLOOKUP($A31,'Day-13 Clean Dataset'!$A:$I,2,FALSE)</f>
        <v>Bob Johnson</v>
      </c>
      <c r="C31" s="37" t="str">
        <f>VLOOKUP($A31,'Day-13 Clean Dataset'!$A:$I,3,FALSE)</f>
        <v>Marketing</v>
      </c>
      <c r="D31" s="37" t="str">
        <f>VLOOKUP($A31,'Day-13 Clean Dataset'!$A:$I,4,FALSE)</f>
        <v>UK</v>
      </c>
      <c r="E31" s="37">
        <f>VLOOKUP($A31,'Day-13 Clean Dataset'!$A:$I,5,FALSE)</f>
        <v>92959</v>
      </c>
      <c r="F31" s="38">
        <f>VLOOKUP($A31,'Day-13 Clean Dataset'!$A:$I,6,FALSE)</f>
        <v>42211</v>
      </c>
      <c r="G31" s="37">
        <f>VLOOKUP($A31,'Day-13 Clean Dataset'!$A:$I,7,FALSE)</f>
        <v>5</v>
      </c>
      <c r="H31" s="37" t="str">
        <f>VLOOKUP($A31,'Day-13 Clean Dataset'!$A:$I,8,FALSE)</f>
        <v>Unknown</v>
      </c>
      <c r="I31" s="37" t="str">
        <f>VLOOKUP($A31,'Day-13 Clean Dataset'!$A:$I,9,FALSE)</f>
        <v>user83@example.com</v>
      </c>
    </row>
    <row r="32" spans="1:9" ht="19.95" customHeight="1" x14ac:dyDescent="0.3">
      <c r="A32" s="37" t="s">
        <v>39</v>
      </c>
      <c r="B32" s="37" t="str">
        <f>VLOOKUP($A32,'Day-13 Clean Dataset'!$A:$I,2,FALSE)</f>
        <v>Unknown</v>
      </c>
      <c r="C32" s="37" t="str">
        <f>VLOOKUP($A32,'Day-13 Clean Dataset'!$A:$I,3,FALSE)</f>
        <v>Marketing</v>
      </c>
      <c r="D32" s="37" t="str">
        <f>VLOOKUP($A32,'Day-13 Clean Dataset'!$A:$I,4,FALSE)</f>
        <v>Unknown</v>
      </c>
      <c r="E32" s="37">
        <f>VLOOKUP($A32,'Day-13 Clean Dataset'!$A:$I,5,FALSE)</f>
        <v>92259</v>
      </c>
      <c r="F32" s="38" t="str">
        <f>VLOOKUP($A32,'Day-13 Clean Dataset'!$A:$I,6,FALSE)</f>
        <v>Unknown</v>
      </c>
      <c r="G32" s="37">
        <f>VLOOKUP($A32,'Day-13 Clean Dataset'!$A:$I,7,FALSE)</f>
        <v>1</v>
      </c>
      <c r="H32" s="37" t="str">
        <f>VLOOKUP($A32,'Day-13 Clean Dataset'!$A:$I,8,FALSE)</f>
        <v>Unknown</v>
      </c>
      <c r="I32" s="37" t="str">
        <f>VLOOKUP($A32,'Day-13 Clean Dataset'!$A:$I,9,FALSE)</f>
        <v>user109@example.com</v>
      </c>
    </row>
    <row r="33" spans="1:9" ht="19.95" customHeight="1" x14ac:dyDescent="0.3">
      <c r="A33" s="37" t="s">
        <v>40</v>
      </c>
      <c r="B33" s="37" t="str">
        <f>VLOOKUP($A33,'Day-13 Clean Dataset'!$A:$I,2,FALSE)</f>
        <v>Eve Adams</v>
      </c>
      <c r="C33" s="37" t="str">
        <f>VLOOKUP($A33,'Day-13 Clean Dataset'!$A:$I,3,FALSE)</f>
        <v>HR</v>
      </c>
      <c r="D33" s="37" t="str">
        <f>VLOOKUP($A33,'Day-13 Clean Dataset'!$A:$I,4,FALSE)</f>
        <v>Germany</v>
      </c>
      <c r="E33" s="37">
        <f>VLOOKUP($A33,'Day-13 Clean Dataset'!$A:$I,5,FALSE)</f>
        <v>92299</v>
      </c>
      <c r="F33" s="38">
        <f>VLOOKUP($A33,'Day-13 Clean Dataset'!$A:$I,6,FALSE)</f>
        <v>42225</v>
      </c>
      <c r="G33" s="37">
        <f>VLOOKUP($A33,'Day-13 Clean Dataset'!$A:$I,7,FALSE)</f>
        <v>3</v>
      </c>
      <c r="H33" s="37" t="str">
        <f>VLOOKUP($A33,'Day-13 Clean Dataset'!$A:$I,8,FALSE)</f>
        <v>Male</v>
      </c>
      <c r="I33" s="37" t="str">
        <f>VLOOKUP($A33,'Day-13 Clean Dataset'!$A:$I,9,FALSE)</f>
        <v>user143@example.com</v>
      </c>
    </row>
    <row r="34" spans="1:9" ht="19.95" customHeight="1" x14ac:dyDescent="0.3">
      <c r="A34" s="37" t="s">
        <v>41</v>
      </c>
      <c r="B34" s="37" t="str">
        <f>VLOOKUP($A34,'Day-13 Clean Dataset'!$A:$I,2,FALSE)</f>
        <v>Sam Wilson</v>
      </c>
      <c r="C34" s="37" t="str">
        <f>VLOOKUP($A34,'Day-13 Clean Dataset'!$A:$I,3,FALSE)</f>
        <v>HR</v>
      </c>
      <c r="D34" s="37" t="str">
        <f>VLOOKUP($A34,'Day-13 Clean Dataset'!$A:$I,4,FALSE)</f>
        <v>Unknown</v>
      </c>
      <c r="E34" s="37">
        <f>VLOOKUP($A34,'Day-13 Clean Dataset'!$A:$I,5,FALSE)</f>
        <v>95586</v>
      </c>
      <c r="F34" s="38">
        <f>VLOOKUP($A34,'Day-13 Clean Dataset'!$A:$I,6,FALSE)</f>
        <v>42232</v>
      </c>
      <c r="G34" s="37">
        <f>VLOOKUP($A34,'Day-13 Clean Dataset'!$A:$I,7,FALSE)</f>
        <v>3</v>
      </c>
      <c r="H34" s="37" t="str">
        <f>VLOOKUP($A34,'Day-13 Clean Dataset'!$A:$I,8,FALSE)</f>
        <v>Other</v>
      </c>
      <c r="I34" s="37" t="str">
        <f>VLOOKUP($A34,'Day-13 Clean Dataset'!$A:$I,9,FALSE)</f>
        <v>user190@example.com</v>
      </c>
    </row>
    <row r="35" spans="1:9" ht="19.95" customHeight="1" x14ac:dyDescent="0.3">
      <c r="A35" s="37" t="s">
        <v>42</v>
      </c>
      <c r="B35" s="37" t="str">
        <f>VLOOKUP($A35,'Day-13 Clean Dataset'!$A:$I,2,FALSE)</f>
        <v>Chris Lee</v>
      </c>
      <c r="C35" s="37" t="str">
        <f>VLOOKUP($A35,'Day-13 Clean Dataset'!$A:$I,3,FALSE)</f>
        <v>Unknown</v>
      </c>
      <c r="D35" s="37" t="str">
        <f>VLOOKUP($A35,'Day-13 Clean Dataset'!$A:$I,4,FALSE)</f>
        <v>USA</v>
      </c>
      <c r="E35" s="37">
        <f>VLOOKUP($A35,'Day-13 Clean Dataset'!$A:$I,5,FALSE)</f>
        <v>95367</v>
      </c>
      <c r="F35" s="38">
        <f>VLOOKUP($A35,'Day-13 Clean Dataset'!$A:$I,6,FALSE)</f>
        <v>42239</v>
      </c>
      <c r="G35" s="37" t="str">
        <f>VLOOKUP($A35,'Day-13 Clean Dataset'!$A:$I,7,FALSE)</f>
        <v>Unknown</v>
      </c>
      <c r="H35" s="37" t="str">
        <f>VLOOKUP($A35,'Day-13 Clean Dataset'!$A:$I,8,FALSE)</f>
        <v>Male</v>
      </c>
      <c r="I35" s="37" t="str">
        <f>VLOOKUP($A35,'Day-13 Clean Dataset'!$A:$I,9,FALSE)</f>
        <v>user136@example.com</v>
      </c>
    </row>
    <row r="36" spans="1:9" ht="19.95" customHeight="1" x14ac:dyDescent="0.3">
      <c r="A36" s="37" t="s">
        <v>43</v>
      </c>
      <c r="B36" s="37" t="str">
        <f>VLOOKUP($A36,'Day-13 Clean Dataset'!$A:$I,2,FALSE)</f>
        <v>John Doe</v>
      </c>
      <c r="C36" s="37" t="str">
        <f>VLOOKUP($A36,'Day-13 Clean Dataset'!$A:$I,3,FALSE)</f>
        <v>Sales</v>
      </c>
      <c r="D36" s="37" t="str">
        <f>VLOOKUP($A36,'Day-13 Clean Dataset'!$A:$I,4,FALSE)</f>
        <v>Australia</v>
      </c>
      <c r="E36" s="37">
        <f>VLOOKUP($A36,'Day-13 Clean Dataset'!$A:$I,5,FALSE)</f>
        <v>79549</v>
      </c>
      <c r="F36" s="38">
        <f>VLOOKUP($A36,'Day-13 Clean Dataset'!$A:$I,6,FALSE)</f>
        <v>42246</v>
      </c>
      <c r="G36" s="37">
        <f>VLOOKUP($A36,'Day-13 Clean Dataset'!$A:$I,7,FALSE)</f>
        <v>3</v>
      </c>
      <c r="H36" s="37" t="str">
        <f>VLOOKUP($A36,'Day-13 Clean Dataset'!$A:$I,8,FALSE)</f>
        <v>Unknown</v>
      </c>
      <c r="I36" s="37" t="str">
        <f>VLOOKUP($A36,'Day-13 Clean Dataset'!$A:$I,9,FALSE)</f>
        <v>user198@example.com</v>
      </c>
    </row>
    <row r="37" spans="1:9" ht="19.95" customHeight="1" x14ac:dyDescent="0.3">
      <c r="A37" s="37" t="s">
        <v>44</v>
      </c>
      <c r="B37" s="37" t="str">
        <f>VLOOKUP($A37,'Day-13 Clean Dataset'!$A:$I,2,FALSE)</f>
        <v>Alice Brown</v>
      </c>
      <c r="C37" s="37" t="str">
        <f>VLOOKUP($A37,'Day-13 Clean Dataset'!$A:$I,3,FALSE)</f>
        <v>Unknown</v>
      </c>
      <c r="D37" s="37" t="str">
        <f>VLOOKUP($A37,'Day-13 Clean Dataset'!$A:$I,4,FALSE)</f>
        <v>UK</v>
      </c>
      <c r="E37" s="37">
        <f>VLOOKUP($A37,'Day-13 Clean Dataset'!$A:$I,5,FALSE)</f>
        <v>54463</v>
      </c>
      <c r="F37" s="38">
        <f>VLOOKUP($A37,'Day-13 Clean Dataset'!$A:$I,6,FALSE)</f>
        <v>42253</v>
      </c>
      <c r="G37" s="37">
        <f>VLOOKUP($A37,'Day-13 Clean Dataset'!$A:$I,7,FALSE)</f>
        <v>4</v>
      </c>
      <c r="H37" s="37" t="str">
        <f>VLOOKUP($A37,'Day-13 Clean Dataset'!$A:$I,8,FALSE)</f>
        <v>Male</v>
      </c>
      <c r="I37" s="37" t="str">
        <f>VLOOKUP($A37,'Day-13 Clean Dataset'!$A:$I,9,FALSE)</f>
        <v>Unknown</v>
      </c>
    </row>
    <row r="38" spans="1:9" ht="19.95" customHeight="1" x14ac:dyDescent="0.3">
      <c r="A38" s="37" t="s">
        <v>45</v>
      </c>
      <c r="B38" s="37" t="str">
        <f>VLOOKUP($A38,'Day-13 Clean Dataset'!$A:$I,2,FALSE)</f>
        <v>Alice Brown</v>
      </c>
      <c r="C38" s="37" t="str">
        <f>VLOOKUP($A38,'Day-13 Clean Dataset'!$A:$I,3,FALSE)</f>
        <v>IT</v>
      </c>
      <c r="D38" s="37" t="str">
        <f>VLOOKUP($A38,'Day-13 Clean Dataset'!$A:$I,4,FALSE)</f>
        <v>USA</v>
      </c>
      <c r="E38" s="37">
        <f>VLOOKUP($A38,'Day-13 Clean Dataset'!$A:$I,5,FALSE)</f>
        <v>89781</v>
      </c>
      <c r="F38" s="38">
        <f>VLOOKUP($A38,'Day-13 Clean Dataset'!$A:$I,6,FALSE)</f>
        <v>42260</v>
      </c>
      <c r="G38" s="37" t="str">
        <f>VLOOKUP($A38,'Day-13 Clean Dataset'!$A:$I,7,FALSE)</f>
        <v>Unknown</v>
      </c>
      <c r="H38" s="37" t="str">
        <f>VLOOKUP($A38,'Day-13 Clean Dataset'!$A:$I,8,FALSE)</f>
        <v>Female</v>
      </c>
      <c r="I38" s="37" t="str">
        <f>VLOOKUP($A38,'Day-13 Clean Dataset'!$A:$I,9,FALSE)</f>
        <v>user31@example.com</v>
      </c>
    </row>
    <row r="39" spans="1:9" ht="19.95" customHeight="1" x14ac:dyDescent="0.3">
      <c r="A39" s="37" t="s">
        <v>46</v>
      </c>
      <c r="B39" s="37" t="str">
        <f>VLOOKUP($A39,'Day-13 Clean Dataset'!$A:$I,2,FALSE)</f>
        <v>Alice Brown</v>
      </c>
      <c r="C39" s="37" t="str">
        <f>VLOOKUP($A39,'Day-13 Clean Dataset'!$A:$I,3,FALSE)</f>
        <v>HR</v>
      </c>
      <c r="D39" s="37" t="str">
        <f>VLOOKUP($A39,'Day-13 Clean Dataset'!$A:$I,4,FALSE)</f>
        <v>Unknown</v>
      </c>
      <c r="E39" s="37">
        <f>VLOOKUP($A39,'Day-13 Clean Dataset'!$A:$I,5,FALSE)</f>
        <v>64796</v>
      </c>
      <c r="F39" s="38">
        <f>VLOOKUP($A39,'Day-13 Clean Dataset'!$A:$I,6,FALSE)</f>
        <v>42267</v>
      </c>
      <c r="G39" s="37" t="str">
        <f>VLOOKUP($A39,'Day-13 Clean Dataset'!$A:$I,7,FALSE)</f>
        <v>Unknown</v>
      </c>
      <c r="H39" s="37" t="str">
        <f>VLOOKUP($A39,'Day-13 Clean Dataset'!$A:$I,8,FALSE)</f>
        <v>Other</v>
      </c>
      <c r="I39" s="37" t="str">
        <f>VLOOKUP($A39,'Day-13 Clean Dataset'!$A:$I,9,FALSE)</f>
        <v>user98@example.com</v>
      </c>
    </row>
    <row r="40" spans="1:9" ht="19.95" customHeight="1" x14ac:dyDescent="0.3">
      <c r="A40" s="37" t="s">
        <v>47</v>
      </c>
      <c r="B40" s="37" t="str">
        <f>VLOOKUP($A40,'Day-13 Clean Dataset'!$A:$I,2,FALSE)</f>
        <v>John Doe</v>
      </c>
      <c r="C40" s="37" t="str">
        <f>VLOOKUP($A40,'Day-13 Clean Dataset'!$A:$I,3,FALSE)</f>
        <v>Marketing</v>
      </c>
      <c r="D40" s="37" t="str">
        <f>VLOOKUP($A40,'Day-13 Clean Dataset'!$A:$I,4,FALSE)</f>
        <v>UK</v>
      </c>
      <c r="E40" s="37">
        <f>VLOOKUP($A40,'Day-13 Clean Dataset'!$A:$I,5,FALSE)</f>
        <v>52093</v>
      </c>
      <c r="F40" s="38">
        <f>VLOOKUP($A40,'Day-13 Clean Dataset'!$A:$I,6,FALSE)</f>
        <v>42274</v>
      </c>
      <c r="G40" s="37">
        <f>VLOOKUP($A40,'Day-13 Clean Dataset'!$A:$I,7,FALSE)</f>
        <v>5</v>
      </c>
      <c r="H40" s="37" t="str">
        <f>VLOOKUP($A40,'Day-13 Clean Dataset'!$A:$I,8,FALSE)</f>
        <v>Unknown</v>
      </c>
      <c r="I40" s="37" t="str">
        <f>VLOOKUP($A40,'Day-13 Clean Dataset'!$A:$I,9,FALSE)</f>
        <v>user154@example.com</v>
      </c>
    </row>
    <row r="41" spans="1:9" ht="19.95" customHeight="1" x14ac:dyDescent="0.3">
      <c r="A41" s="37" t="s">
        <v>48</v>
      </c>
      <c r="B41" s="37" t="str">
        <f>VLOOKUP($A41,'Day-13 Clean Dataset'!$A:$I,2,FALSE)</f>
        <v>Chris Lee</v>
      </c>
      <c r="C41" s="37" t="str">
        <f>VLOOKUP($A41,'Day-13 Clean Dataset'!$A:$I,3,FALSE)</f>
        <v>HR</v>
      </c>
      <c r="D41" s="37" t="str">
        <f>VLOOKUP($A41,'Day-13 Clean Dataset'!$A:$I,4,FALSE)</f>
        <v>UK</v>
      </c>
      <c r="E41" s="37">
        <f>VLOOKUP($A41,'Day-13 Clean Dataset'!$A:$I,5,FALSE)</f>
        <v>48224</v>
      </c>
      <c r="F41" s="38">
        <f>VLOOKUP($A41,'Day-13 Clean Dataset'!$A:$I,6,FALSE)</f>
        <v>42281</v>
      </c>
      <c r="G41" s="37">
        <f>VLOOKUP($A41,'Day-13 Clean Dataset'!$A:$I,7,FALSE)</f>
        <v>3</v>
      </c>
      <c r="H41" s="37" t="str">
        <f>VLOOKUP($A41,'Day-13 Clean Dataset'!$A:$I,8,FALSE)</f>
        <v>Unknown</v>
      </c>
      <c r="I41" s="37" t="str">
        <f>VLOOKUP($A41,'Day-13 Clean Dataset'!$A:$I,9,FALSE)</f>
        <v>user42@example.com</v>
      </c>
    </row>
    <row r="42" spans="1:9" ht="19.95" customHeight="1" x14ac:dyDescent="0.3">
      <c r="A42" s="37" t="s">
        <v>49</v>
      </c>
      <c r="B42" s="37" t="str">
        <f>VLOOKUP($A42,'Day-13 Clean Dataset'!$A:$I,2,FALSE)</f>
        <v>Bob Johnson</v>
      </c>
      <c r="C42" s="37" t="str">
        <f>VLOOKUP($A42,'Day-13 Clean Dataset'!$A:$I,3,FALSE)</f>
        <v>Finance</v>
      </c>
      <c r="D42" s="37" t="str">
        <f>VLOOKUP($A42,'Day-13 Clean Dataset'!$A:$I,4,FALSE)</f>
        <v>UK</v>
      </c>
      <c r="E42" s="37" t="str">
        <f>VLOOKUP($A42,'Day-13 Clean Dataset'!$A:$I,5,FALSE)</f>
        <v>Unknown</v>
      </c>
      <c r="F42" s="38" t="str">
        <f>VLOOKUP($A42,'Day-13 Clean Dataset'!$A:$I,6,FALSE)</f>
        <v>Unknown</v>
      </c>
      <c r="G42" s="37">
        <f>VLOOKUP($A42,'Day-13 Clean Dataset'!$A:$I,7,FALSE)</f>
        <v>4</v>
      </c>
      <c r="H42" s="37" t="str">
        <f>VLOOKUP($A42,'Day-13 Clean Dataset'!$A:$I,8,FALSE)</f>
        <v>Female</v>
      </c>
      <c r="I42" s="37" t="str">
        <f>VLOOKUP($A42,'Day-13 Clean Dataset'!$A:$I,9,FALSE)</f>
        <v>user89@example.com</v>
      </c>
    </row>
    <row r="43" spans="1:9" ht="19.95" customHeight="1" x14ac:dyDescent="0.3">
      <c r="A43" s="37" t="s">
        <v>50</v>
      </c>
      <c r="B43" s="37" t="str">
        <f>VLOOKUP($A43,'Day-13 Clean Dataset'!$A:$I,2,FALSE)</f>
        <v>Alice Brown</v>
      </c>
      <c r="C43" s="37" t="str">
        <f>VLOOKUP($A43,'Day-13 Clean Dataset'!$A:$I,3,FALSE)</f>
        <v>IT</v>
      </c>
      <c r="D43" s="37" t="str">
        <f>VLOOKUP($A43,'Day-13 Clean Dataset'!$A:$I,4,FALSE)</f>
        <v>Germany</v>
      </c>
      <c r="E43" s="37">
        <f>VLOOKUP($A43,'Day-13 Clean Dataset'!$A:$I,5,FALSE)</f>
        <v>33956</v>
      </c>
      <c r="F43" s="38">
        <f>VLOOKUP($A43,'Day-13 Clean Dataset'!$A:$I,6,FALSE)</f>
        <v>42295</v>
      </c>
      <c r="G43" s="37" t="str">
        <f>VLOOKUP($A43,'Day-13 Clean Dataset'!$A:$I,7,FALSE)</f>
        <v>Unknown</v>
      </c>
      <c r="H43" s="37" t="str">
        <f>VLOOKUP($A43,'Day-13 Clean Dataset'!$A:$I,8,FALSE)</f>
        <v>Unknown</v>
      </c>
      <c r="I43" s="37" t="str">
        <f>VLOOKUP($A43,'Day-13 Clean Dataset'!$A:$I,9,FALSE)</f>
        <v>user47@example.com</v>
      </c>
    </row>
    <row r="44" spans="1:9" ht="19.95" customHeight="1" x14ac:dyDescent="0.3">
      <c r="A44" s="37" t="s">
        <v>51</v>
      </c>
      <c r="B44" s="37" t="str">
        <f>VLOOKUP($A44,'Day-13 Clean Dataset'!$A:$I,2,FALSE)</f>
        <v>Bob Johnson</v>
      </c>
      <c r="C44" s="37" t="str">
        <f>VLOOKUP($A44,'Day-13 Clean Dataset'!$A:$I,3,FALSE)</f>
        <v>Unknown</v>
      </c>
      <c r="D44" s="37" t="str">
        <f>VLOOKUP($A44,'Day-13 Clean Dataset'!$A:$I,4,FALSE)</f>
        <v>Australia</v>
      </c>
      <c r="E44" s="37">
        <f>VLOOKUP($A44,'Day-13 Clean Dataset'!$A:$I,5,FALSE)</f>
        <v>64913</v>
      </c>
      <c r="F44" s="38">
        <f>VLOOKUP($A44,'Day-13 Clean Dataset'!$A:$I,6,FALSE)</f>
        <v>42302</v>
      </c>
      <c r="G44" s="37">
        <f>VLOOKUP($A44,'Day-13 Clean Dataset'!$A:$I,7,FALSE)</f>
        <v>1</v>
      </c>
      <c r="H44" s="37" t="str">
        <f>VLOOKUP($A44,'Day-13 Clean Dataset'!$A:$I,8,FALSE)</f>
        <v>Female</v>
      </c>
      <c r="I44" s="37" t="str">
        <f>VLOOKUP($A44,'Day-13 Clean Dataset'!$A:$I,9,FALSE)</f>
        <v>user175@example.com</v>
      </c>
    </row>
    <row r="45" spans="1:9" ht="19.95" customHeight="1" x14ac:dyDescent="0.3">
      <c r="A45" s="37" t="s">
        <v>52</v>
      </c>
      <c r="B45" s="37" t="str">
        <f>VLOOKUP($A45,'Day-13 Clean Dataset'!$A:$I,2,FALSE)</f>
        <v>Alice Brown</v>
      </c>
      <c r="C45" s="37" t="str">
        <f>VLOOKUP($A45,'Day-13 Clean Dataset'!$A:$I,3,FALSE)</f>
        <v>Marketing</v>
      </c>
      <c r="D45" s="37" t="str">
        <f>VLOOKUP($A45,'Day-13 Clean Dataset'!$A:$I,4,FALSE)</f>
        <v>Australia</v>
      </c>
      <c r="E45" s="37">
        <f>VLOOKUP($A45,'Day-13 Clean Dataset'!$A:$I,5,FALSE)</f>
        <v>35326</v>
      </c>
      <c r="F45" s="38">
        <f>VLOOKUP($A45,'Day-13 Clean Dataset'!$A:$I,6,FALSE)</f>
        <v>42309</v>
      </c>
      <c r="G45" s="37" t="str">
        <f>VLOOKUP($A45,'Day-13 Clean Dataset'!$A:$I,7,FALSE)</f>
        <v>Unknown</v>
      </c>
      <c r="H45" s="37" t="str">
        <f>VLOOKUP($A45,'Day-13 Clean Dataset'!$A:$I,8,FALSE)</f>
        <v>Female</v>
      </c>
      <c r="I45" s="37" t="str">
        <f>VLOOKUP($A45,'Day-13 Clean Dataset'!$A:$I,9,FALSE)</f>
        <v>user57@example.com</v>
      </c>
    </row>
    <row r="46" spans="1:9" ht="19.95" customHeight="1" x14ac:dyDescent="0.3">
      <c r="A46" s="37" t="s">
        <v>53</v>
      </c>
      <c r="B46" s="37" t="str">
        <f>VLOOKUP($A46,'Day-13 Clean Dataset'!$A:$I,2,FALSE)</f>
        <v>Chris Lee</v>
      </c>
      <c r="C46" s="37" t="str">
        <f>VLOOKUP($A46,'Day-13 Clean Dataset'!$A:$I,3,FALSE)</f>
        <v>Finance</v>
      </c>
      <c r="D46" s="37" t="str">
        <f>VLOOKUP($A46,'Day-13 Clean Dataset'!$A:$I,4,FALSE)</f>
        <v>Unknown</v>
      </c>
      <c r="E46" s="37">
        <f>VLOOKUP($A46,'Day-13 Clean Dataset'!$A:$I,5,FALSE)</f>
        <v>81610</v>
      </c>
      <c r="F46" s="38">
        <f>VLOOKUP($A46,'Day-13 Clean Dataset'!$A:$I,6,FALSE)</f>
        <v>42316</v>
      </c>
      <c r="G46" s="37">
        <f>VLOOKUP($A46,'Day-13 Clean Dataset'!$A:$I,7,FALSE)</f>
        <v>1</v>
      </c>
      <c r="H46" s="37" t="str">
        <f>VLOOKUP($A46,'Day-13 Clean Dataset'!$A:$I,8,FALSE)</f>
        <v>Unknown</v>
      </c>
      <c r="I46" s="37" t="str">
        <f>VLOOKUP($A46,'Day-13 Clean Dataset'!$A:$I,9,FALSE)</f>
        <v>user20@example.com</v>
      </c>
    </row>
    <row r="47" spans="1:9" ht="19.95" customHeight="1" x14ac:dyDescent="0.3">
      <c r="A47" s="37" t="s">
        <v>54</v>
      </c>
      <c r="B47" s="37" t="str">
        <f>VLOOKUP($A47,'Day-13 Clean Dataset'!$A:$I,2,FALSE)</f>
        <v>Unknown</v>
      </c>
      <c r="C47" s="37" t="str">
        <f>VLOOKUP($A47,'Day-13 Clean Dataset'!$A:$I,3,FALSE)</f>
        <v>HR</v>
      </c>
      <c r="D47" s="37" t="str">
        <f>VLOOKUP($A47,'Day-13 Clean Dataset'!$A:$I,4,FALSE)</f>
        <v>Unknown</v>
      </c>
      <c r="E47" s="37">
        <f>VLOOKUP($A47,'Day-13 Clean Dataset'!$A:$I,5,FALSE)</f>
        <v>58962</v>
      </c>
      <c r="F47" s="38">
        <f>VLOOKUP($A47,'Day-13 Clean Dataset'!$A:$I,6,FALSE)</f>
        <v>42323</v>
      </c>
      <c r="G47" s="37">
        <f>VLOOKUP($A47,'Day-13 Clean Dataset'!$A:$I,7,FALSE)</f>
        <v>3</v>
      </c>
      <c r="H47" s="37" t="str">
        <f>VLOOKUP($A47,'Day-13 Clean Dataset'!$A:$I,8,FALSE)</f>
        <v>Other</v>
      </c>
      <c r="I47" s="37" t="str">
        <f>VLOOKUP($A47,'Day-13 Clean Dataset'!$A:$I,9,FALSE)</f>
        <v>user106@example.com</v>
      </c>
    </row>
    <row r="48" spans="1:9" ht="19.95" customHeight="1" x14ac:dyDescent="0.3">
      <c r="A48" s="37" t="s">
        <v>55</v>
      </c>
      <c r="B48" s="37" t="str">
        <f>VLOOKUP($A48,'Day-13 Clean Dataset'!$A:$I,2,FALSE)</f>
        <v>Chris Lee</v>
      </c>
      <c r="C48" s="37" t="str">
        <f>VLOOKUP($A48,'Day-13 Clean Dataset'!$A:$I,3,FALSE)</f>
        <v>IT</v>
      </c>
      <c r="D48" s="37" t="str">
        <f>VLOOKUP($A48,'Day-13 Clean Dataset'!$A:$I,4,FALSE)</f>
        <v>Germany</v>
      </c>
      <c r="E48" s="37">
        <f>VLOOKUP($A48,'Day-13 Clean Dataset'!$A:$I,5,FALSE)</f>
        <v>92701</v>
      </c>
      <c r="F48" s="38">
        <f>VLOOKUP($A48,'Day-13 Clean Dataset'!$A:$I,6,FALSE)</f>
        <v>42330</v>
      </c>
      <c r="G48" s="37">
        <f>VLOOKUP($A48,'Day-13 Clean Dataset'!$A:$I,7,FALSE)</f>
        <v>3</v>
      </c>
      <c r="H48" s="37" t="str">
        <f>VLOOKUP($A48,'Day-13 Clean Dataset'!$A:$I,8,FALSE)</f>
        <v>Other</v>
      </c>
      <c r="I48" s="37" t="str">
        <f>VLOOKUP($A48,'Day-13 Clean Dataset'!$A:$I,9,FALSE)</f>
        <v>user199@example.com</v>
      </c>
    </row>
    <row r="49" spans="1:9" ht="19.95" customHeight="1" x14ac:dyDescent="0.3">
      <c r="A49" s="37" t="s">
        <v>56</v>
      </c>
      <c r="B49" s="37" t="str">
        <f>VLOOKUP($A49,'Day-13 Clean Dataset'!$A:$I,2,FALSE)</f>
        <v>Chris Lee</v>
      </c>
      <c r="C49" s="37" t="str">
        <f>VLOOKUP($A49,'Day-13 Clean Dataset'!$A:$I,3,FALSE)</f>
        <v>HR</v>
      </c>
      <c r="D49" s="37" t="str">
        <f>VLOOKUP($A49,'Day-13 Clean Dataset'!$A:$I,4,FALSE)</f>
        <v>India</v>
      </c>
      <c r="E49" s="37">
        <f>VLOOKUP($A49,'Day-13 Clean Dataset'!$A:$I,5,FALSE)</f>
        <v>58245</v>
      </c>
      <c r="F49" s="38">
        <f>VLOOKUP($A49,'Day-13 Clean Dataset'!$A:$I,6,FALSE)</f>
        <v>42337</v>
      </c>
      <c r="G49" s="37">
        <f>VLOOKUP($A49,'Day-13 Clean Dataset'!$A:$I,7,FALSE)</f>
        <v>4</v>
      </c>
      <c r="H49" s="37" t="str">
        <f>VLOOKUP($A49,'Day-13 Clean Dataset'!$A:$I,8,FALSE)</f>
        <v>Unknown</v>
      </c>
      <c r="I49" s="37" t="str">
        <f>VLOOKUP($A49,'Day-13 Clean Dataset'!$A:$I,9,FALSE)</f>
        <v>user43@example.com</v>
      </c>
    </row>
    <row r="50" spans="1:9" ht="19.95" customHeight="1" x14ac:dyDescent="0.3">
      <c r="A50" s="37" t="s">
        <v>57</v>
      </c>
      <c r="B50" s="37" t="str">
        <f>VLOOKUP($A50,'Day-13 Clean Dataset'!$A:$I,2,FALSE)</f>
        <v>John Doe</v>
      </c>
      <c r="C50" s="37" t="str">
        <f>VLOOKUP($A50,'Day-13 Clean Dataset'!$A:$I,3,FALSE)</f>
        <v>Finance</v>
      </c>
      <c r="D50" s="37" t="str">
        <f>VLOOKUP($A50,'Day-13 Clean Dataset'!$A:$I,4,FALSE)</f>
        <v>Unknown</v>
      </c>
      <c r="E50" s="37">
        <f>VLOOKUP($A50,'Day-13 Clean Dataset'!$A:$I,5,FALSE)</f>
        <v>66513</v>
      </c>
      <c r="F50" s="38">
        <f>VLOOKUP($A50,'Day-13 Clean Dataset'!$A:$I,6,FALSE)</f>
        <v>42344</v>
      </c>
      <c r="G50" s="37">
        <f>VLOOKUP($A50,'Day-13 Clean Dataset'!$A:$I,7,FALSE)</f>
        <v>2</v>
      </c>
      <c r="H50" s="37" t="str">
        <f>VLOOKUP($A50,'Day-13 Clean Dataset'!$A:$I,8,FALSE)</f>
        <v>Other</v>
      </c>
      <c r="I50" s="37" t="str">
        <f>VLOOKUP($A50,'Day-13 Clean Dataset'!$A:$I,9,FALSE)</f>
        <v>user24@example.com</v>
      </c>
    </row>
    <row r="51" spans="1:9" ht="19.95" customHeight="1" x14ac:dyDescent="0.3">
      <c r="A51" s="37" t="s">
        <v>58</v>
      </c>
      <c r="B51" s="37" t="str">
        <f>VLOOKUP($A51,'Day-13 Clean Dataset'!$A:$I,2,FALSE)</f>
        <v>Eve Adams</v>
      </c>
      <c r="C51" s="37" t="str">
        <f>VLOOKUP($A51,'Day-13 Clean Dataset'!$A:$I,3,FALSE)</f>
        <v>HR</v>
      </c>
      <c r="D51" s="37" t="str">
        <f>VLOOKUP($A51,'Day-13 Clean Dataset'!$A:$I,4,FALSE)</f>
        <v>Germany</v>
      </c>
      <c r="E51" s="37">
        <f>VLOOKUP($A51,'Day-13 Clean Dataset'!$A:$I,5,FALSE)</f>
        <v>78720</v>
      </c>
      <c r="F51" s="38">
        <f>VLOOKUP($A51,'Day-13 Clean Dataset'!$A:$I,6,FALSE)</f>
        <v>42351</v>
      </c>
      <c r="G51" s="37">
        <f>VLOOKUP($A51,'Day-13 Clean Dataset'!$A:$I,7,FALSE)</f>
        <v>5</v>
      </c>
      <c r="H51" s="37" t="str">
        <f>VLOOKUP($A51,'Day-13 Clean Dataset'!$A:$I,8,FALSE)</f>
        <v>Female</v>
      </c>
      <c r="I51" s="37" t="str">
        <f>VLOOKUP($A51,'Day-13 Clean Dataset'!$A:$I,9,FALSE)</f>
        <v>user89@example.com</v>
      </c>
    </row>
    <row r="52" spans="1:9" ht="19.95" customHeight="1" x14ac:dyDescent="0.3">
      <c r="A52" s="37" t="s">
        <v>59</v>
      </c>
      <c r="B52" s="37" t="str">
        <f>VLOOKUP($A52,'Day-13 Clean Dataset'!$A:$I,2,FALSE)</f>
        <v>Chris Lee</v>
      </c>
      <c r="C52" s="37" t="str">
        <f>VLOOKUP($A52,'Day-13 Clean Dataset'!$A:$I,3,FALSE)</f>
        <v>Unknown</v>
      </c>
      <c r="D52" s="37" t="str">
        <f>VLOOKUP($A52,'Day-13 Clean Dataset'!$A:$I,4,FALSE)</f>
        <v>Unknown</v>
      </c>
      <c r="E52" s="37">
        <f>VLOOKUP($A52,'Day-13 Clean Dataset'!$A:$I,5,FALSE)</f>
        <v>30686</v>
      </c>
      <c r="F52" s="38" t="str">
        <f>VLOOKUP($A52,'Day-13 Clean Dataset'!$A:$I,6,FALSE)</f>
        <v>Unknown</v>
      </c>
      <c r="G52" s="37">
        <f>VLOOKUP($A52,'Day-13 Clean Dataset'!$A:$I,7,FALSE)</f>
        <v>2</v>
      </c>
      <c r="H52" s="37" t="str">
        <f>VLOOKUP($A52,'Day-13 Clean Dataset'!$A:$I,8,FALSE)</f>
        <v>Female</v>
      </c>
      <c r="I52" s="37" t="str">
        <f>VLOOKUP($A52,'Day-13 Clean Dataset'!$A:$I,9,FALSE)</f>
        <v>user95@example.com</v>
      </c>
    </row>
    <row r="53" spans="1:9" ht="19.95" customHeight="1" x14ac:dyDescent="0.3">
      <c r="A53" s="37" t="s">
        <v>60</v>
      </c>
      <c r="B53" s="37" t="str">
        <f>VLOOKUP($A53,'Day-13 Clean Dataset'!$A:$I,2,FALSE)</f>
        <v>Sam Wilson</v>
      </c>
      <c r="C53" s="37" t="str">
        <f>VLOOKUP($A53,'Day-13 Clean Dataset'!$A:$I,3,FALSE)</f>
        <v>Sales</v>
      </c>
      <c r="D53" s="37" t="str">
        <f>VLOOKUP($A53,'Day-13 Clean Dataset'!$A:$I,4,FALSE)</f>
        <v>India</v>
      </c>
      <c r="E53" s="37">
        <f>VLOOKUP($A53,'Day-13 Clean Dataset'!$A:$I,5,FALSE)</f>
        <v>39423</v>
      </c>
      <c r="F53" s="38">
        <f>VLOOKUP($A53,'Day-13 Clean Dataset'!$A:$I,6,FALSE)</f>
        <v>42365</v>
      </c>
      <c r="G53" s="37">
        <f>VLOOKUP($A53,'Day-13 Clean Dataset'!$A:$I,7,FALSE)</f>
        <v>5</v>
      </c>
      <c r="H53" s="37" t="str">
        <f>VLOOKUP($A53,'Day-13 Clean Dataset'!$A:$I,8,FALSE)</f>
        <v>Unknown</v>
      </c>
      <c r="I53" s="37" t="str">
        <f>VLOOKUP($A53,'Day-13 Clean Dataset'!$A:$I,9,FALSE)</f>
        <v>user59@example.com</v>
      </c>
    </row>
    <row r="54" spans="1:9" ht="19.95" customHeight="1" x14ac:dyDescent="0.3">
      <c r="A54" s="37" t="s">
        <v>61</v>
      </c>
      <c r="B54" s="37" t="str">
        <f>VLOOKUP($A54,'Day-13 Clean Dataset'!$A:$I,2,FALSE)</f>
        <v>Eve Adams</v>
      </c>
      <c r="C54" s="37" t="str">
        <f>VLOOKUP($A54,'Day-13 Clean Dataset'!$A:$I,3,FALSE)</f>
        <v>Marketing</v>
      </c>
      <c r="D54" s="37" t="str">
        <f>VLOOKUP($A54,'Day-13 Clean Dataset'!$A:$I,4,FALSE)</f>
        <v>Unknown</v>
      </c>
      <c r="E54" s="37">
        <f>VLOOKUP($A54,'Day-13 Clean Dataset'!$A:$I,5,FALSE)</f>
        <v>30280</v>
      </c>
      <c r="F54" s="38">
        <f>VLOOKUP($A54,'Day-13 Clean Dataset'!$A:$I,6,FALSE)</f>
        <v>42372</v>
      </c>
      <c r="G54" s="37">
        <f>VLOOKUP($A54,'Day-13 Clean Dataset'!$A:$I,7,FALSE)</f>
        <v>1</v>
      </c>
      <c r="H54" s="37" t="str">
        <f>VLOOKUP($A54,'Day-13 Clean Dataset'!$A:$I,8,FALSE)</f>
        <v>Unknown</v>
      </c>
      <c r="I54" s="37" t="str">
        <f>VLOOKUP($A54,'Day-13 Clean Dataset'!$A:$I,9,FALSE)</f>
        <v>user152@example.com</v>
      </c>
    </row>
    <row r="55" spans="1:9" ht="19.95" customHeight="1" x14ac:dyDescent="0.3">
      <c r="A55" s="37" t="s">
        <v>62</v>
      </c>
      <c r="B55" s="37" t="str">
        <f>VLOOKUP($A55,'Day-13 Clean Dataset'!$A:$I,2,FALSE)</f>
        <v>Eve Adams</v>
      </c>
      <c r="C55" s="37" t="str">
        <f>VLOOKUP($A55,'Day-13 Clean Dataset'!$A:$I,3,FALSE)</f>
        <v>Finance</v>
      </c>
      <c r="D55" s="37" t="str">
        <f>VLOOKUP($A55,'Day-13 Clean Dataset'!$A:$I,4,FALSE)</f>
        <v>UK</v>
      </c>
      <c r="E55" s="37">
        <f>VLOOKUP($A55,'Day-13 Clean Dataset'!$A:$I,5,FALSE)</f>
        <v>33352</v>
      </c>
      <c r="F55" s="38">
        <f>VLOOKUP($A55,'Day-13 Clean Dataset'!$A:$I,6,FALSE)</f>
        <v>42379</v>
      </c>
      <c r="G55" s="37">
        <f>VLOOKUP($A55,'Day-13 Clean Dataset'!$A:$I,7,FALSE)</f>
        <v>3</v>
      </c>
      <c r="H55" s="37" t="str">
        <f>VLOOKUP($A55,'Day-13 Clean Dataset'!$A:$I,8,FALSE)</f>
        <v>Female</v>
      </c>
      <c r="I55" s="37" t="str">
        <f>VLOOKUP($A55,'Day-13 Clean Dataset'!$A:$I,9,FALSE)</f>
        <v>user200@example.com</v>
      </c>
    </row>
    <row r="56" spans="1:9" ht="19.95" customHeight="1" x14ac:dyDescent="0.3">
      <c r="A56" s="37" t="s">
        <v>63</v>
      </c>
      <c r="B56" s="37" t="str">
        <f>VLOOKUP($A56,'Day-13 Clean Dataset'!$A:$I,2,FALSE)</f>
        <v>Bob Johnson</v>
      </c>
      <c r="C56" s="37" t="str">
        <f>VLOOKUP($A56,'Day-13 Clean Dataset'!$A:$I,3,FALSE)</f>
        <v>Marketing</v>
      </c>
      <c r="D56" s="37" t="str">
        <f>VLOOKUP($A56,'Day-13 Clean Dataset'!$A:$I,4,FALSE)</f>
        <v>UK</v>
      </c>
      <c r="E56" s="37">
        <f>VLOOKUP($A56,'Day-13 Clean Dataset'!$A:$I,5,FALSE)</f>
        <v>75633</v>
      </c>
      <c r="F56" s="38">
        <f>VLOOKUP($A56,'Day-13 Clean Dataset'!$A:$I,6,FALSE)</f>
        <v>42386</v>
      </c>
      <c r="G56" s="37">
        <f>VLOOKUP($A56,'Day-13 Clean Dataset'!$A:$I,7,FALSE)</f>
        <v>5</v>
      </c>
      <c r="H56" s="37" t="str">
        <f>VLOOKUP($A56,'Day-13 Clean Dataset'!$A:$I,8,FALSE)</f>
        <v>Other</v>
      </c>
      <c r="I56" s="37" t="str">
        <f>VLOOKUP($A56,'Day-13 Clean Dataset'!$A:$I,9,FALSE)</f>
        <v>user92@example.com</v>
      </c>
    </row>
    <row r="57" spans="1:9" ht="19.95" customHeight="1" x14ac:dyDescent="0.3">
      <c r="A57" s="37" t="s">
        <v>64</v>
      </c>
      <c r="B57" s="37" t="str">
        <f>VLOOKUP($A57,'Day-13 Clean Dataset'!$A:$I,2,FALSE)</f>
        <v>Chris Lee</v>
      </c>
      <c r="C57" s="37" t="str">
        <f>VLOOKUP($A57,'Day-13 Clean Dataset'!$A:$I,3,FALSE)</f>
        <v>Unknown</v>
      </c>
      <c r="D57" s="37" t="str">
        <f>VLOOKUP($A57,'Day-13 Clean Dataset'!$A:$I,4,FALSE)</f>
        <v>USA</v>
      </c>
      <c r="E57" s="37">
        <f>VLOOKUP($A57,'Day-13 Clean Dataset'!$A:$I,5,FALSE)</f>
        <v>74815</v>
      </c>
      <c r="F57" s="38">
        <f>VLOOKUP($A57,'Day-13 Clean Dataset'!$A:$I,6,FALSE)</f>
        <v>42393</v>
      </c>
      <c r="G57" s="37">
        <f>VLOOKUP($A57,'Day-13 Clean Dataset'!$A:$I,7,FALSE)</f>
        <v>5</v>
      </c>
      <c r="H57" s="37" t="str">
        <f>VLOOKUP($A57,'Day-13 Clean Dataset'!$A:$I,8,FALSE)</f>
        <v>Female</v>
      </c>
      <c r="I57" s="37" t="str">
        <f>VLOOKUP($A57,'Day-13 Clean Dataset'!$A:$I,9,FALSE)</f>
        <v>user50@example.com</v>
      </c>
    </row>
    <row r="58" spans="1:9" ht="19.95" customHeight="1" x14ac:dyDescent="0.3">
      <c r="A58" s="37" t="s">
        <v>65</v>
      </c>
      <c r="B58" s="37" t="str">
        <f>VLOOKUP($A58,'Day-13 Clean Dataset'!$A:$I,2,FALSE)</f>
        <v>John Doe</v>
      </c>
      <c r="C58" s="37" t="str">
        <f>VLOOKUP($A58,'Day-13 Clean Dataset'!$A:$I,3,FALSE)</f>
        <v>Sales</v>
      </c>
      <c r="D58" s="37" t="str">
        <f>VLOOKUP($A58,'Day-13 Clean Dataset'!$A:$I,4,FALSE)</f>
        <v>Australia</v>
      </c>
      <c r="E58" s="37">
        <f>VLOOKUP($A58,'Day-13 Clean Dataset'!$A:$I,5,FALSE)</f>
        <v>60011</v>
      </c>
      <c r="F58" s="38">
        <f>VLOOKUP($A58,'Day-13 Clean Dataset'!$A:$I,6,FALSE)</f>
        <v>42400</v>
      </c>
      <c r="G58" s="37">
        <f>VLOOKUP($A58,'Day-13 Clean Dataset'!$A:$I,7,FALSE)</f>
        <v>1</v>
      </c>
      <c r="H58" s="37" t="str">
        <f>VLOOKUP($A58,'Day-13 Clean Dataset'!$A:$I,8,FALSE)</f>
        <v>Male</v>
      </c>
      <c r="I58" s="37" t="str">
        <f>VLOOKUP($A58,'Day-13 Clean Dataset'!$A:$I,9,FALSE)</f>
        <v>user63@example.com</v>
      </c>
    </row>
    <row r="59" spans="1:9" ht="19.95" customHeight="1" x14ac:dyDescent="0.3">
      <c r="A59" s="37" t="s">
        <v>66</v>
      </c>
      <c r="B59" s="37" t="str">
        <f>VLOOKUP($A59,'Day-13 Clean Dataset'!$A:$I,2,FALSE)</f>
        <v>Eve Adams</v>
      </c>
      <c r="C59" s="37" t="str">
        <f>VLOOKUP($A59,'Day-13 Clean Dataset'!$A:$I,3,FALSE)</f>
        <v>Unknown</v>
      </c>
      <c r="D59" s="37" t="str">
        <f>VLOOKUP($A59,'Day-13 Clean Dataset'!$A:$I,4,FALSE)</f>
        <v>India</v>
      </c>
      <c r="E59" s="37">
        <f>VLOOKUP($A59,'Day-13 Clean Dataset'!$A:$I,5,FALSE)</f>
        <v>96949</v>
      </c>
      <c r="F59" s="38">
        <f>VLOOKUP($A59,'Day-13 Clean Dataset'!$A:$I,6,FALSE)</f>
        <v>42407</v>
      </c>
      <c r="G59" s="37">
        <f>VLOOKUP($A59,'Day-13 Clean Dataset'!$A:$I,7,FALSE)</f>
        <v>3</v>
      </c>
      <c r="H59" s="37" t="str">
        <f>VLOOKUP($A59,'Day-13 Clean Dataset'!$A:$I,8,FALSE)</f>
        <v>Unknown</v>
      </c>
      <c r="I59" s="37" t="str">
        <f>VLOOKUP($A59,'Day-13 Clean Dataset'!$A:$I,9,FALSE)</f>
        <v>user103@example.com</v>
      </c>
    </row>
    <row r="60" spans="1:9" ht="19.95" customHeight="1" x14ac:dyDescent="0.3">
      <c r="A60" s="37" t="s">
        <v>67</v>
      </c>
      <c r="B60" s="37" t="str">
        <f>VLOOKUP($A60,'Day-13 Clean Dataset'!$A:$I,2,FALSE)</f>
        <v>Sam Wilson</v>
      </c>
      <c r="C60" s="37" t="str">
        <f>VLOOKUP($A60,'Day-13 Clean Dataset'!$A:$I,3,FALSE)</f>
        <v>Marketing</v>
      </c>
      <c r="D60" s="37" t="str">
        <f>VLOOKUP($A60,'Day-13 Clean Dataset'!$A:$I,4,FALSE)</f>
        <v>Unknown</v>
      </c>
      <c r="E60" s="37">
        <f>VLOOKUP($A60,'Day-13 Clean Dataset'!$A:$I,5,FALSE)</f>
        <v>84924</v>
      </c>
      <c r="F60" s="38">
        <f>VLOOKUP($A60,'Day-13 Clean Dataset'!$A:$I,6,FALSE)</f>
        <v>42414</v>
      </c>
      <c r="G60" s="37">
        <f>VLOOKUP($A60,'Day-13 Clean Dataset'!$A:$I,7,FALSE)</f>
        <v>5</v>
      </c>
      <c r="H60" s="37" t="str">
        <f>VLOOKUP($A60,'Day-13 Clean Dataset'!$A:$I,8,FALSE)</f>
        <v>Male</v>
      </c>
      <c r="I60" s="37" t="str">
        <f>VLOOKUP($A60,'Day-13 Clean Dataset'!$A:$I,9,FALSE)</f>
        <v>user150@example.com</v>
      </c>
    </row>
    <row r="61" spans="1:9" ht="19.95" customHeight="1" x14ac:dyDescent="0.3">
      <c r="A61" s="37" t="s">
        <v>68</v>
      </c>
      <c r="B61" s="37" t="str">
        <f>VLOOKUP($A61,'Day-13 Clean Dataset'!$A:$I,2,FALSE)</f>
        <v>Sam Wilson</v>
      </c>
      <c r="C61" s="37" t="str">
        <f>VLOOKUP($A61,'Day-13 Clean Dataset'!$A:$I,3,FALSE)</f>
        <v>Finance</v>
      </c>
      <c r="D61" s="37" t="str">
        <f>VLOOKUP($A61,'Day-13 Clean Dataset'!$A:$I,4,FALSE)</f>
        <v>USA</v>
      </c>
      <c r="E61" s="37">
        <f>VLOOKUP($A61,'Day-13 Clean Dataset'!$A:$I,5,FALSE)</f>
        <v>82033</v>
      </c>
      <c r="F61" s="38">
        <f>VLOOKUP($A61,'Day-13 Clean Dataset'!$A:$I,6,FALSE)</f>
        <v>42421</v>
      </c>
      <c r="G61" s="37">
        <f>VLOOKUP($A61,'Day-13 Clean Dataset'!$A:$I,7,FALSE)</f>
        <v>1</v>
      </c>
      <c r="H61" s="37" t="str">
        <f>VLOOKUP($A61,'Day-13 Clean Dataset'!$A:$I,8,FALSE)</f>
        <v>Unknown</v>
      </c>
      <c r="I61" s="37" t="str">
        <f>VLOOKUP($A61,'Day-13 Clean Dataset'!$A:$I,9,FALSE)</f>
        <v>user20@example.com</v>
      </c>
    </row>
    <row r="62" spans="1:9" ht="19.95" customHeight="1" x14ac:dyDescent="0.3">
      <c r="A62" s="37" t="s">
        <v>69</v>
      </c>
      <c r="B62" s="37" t="str">
        <f>VLOOKUP($A62,'Day-13 Clean Dataset'!$A:$I,2,FALSE)</f>
        <v>Unknown</v>
      </c>
      <c r="C62" s="37" t="str">
        <f>VLOOKUP($A62,'Day-13 Clean Dataset'!$A:$I,3,FALSE)</f>
        <v>Marketing</v>
      </c>
      <c r="D62" s="37" t="str">
        <f>VLOOKUP($A62,'Day-13 Clean Dataset'!$A:$I,4,FALSE)</f>
        <v>Germany</v>
      </c>
      <c r="E62" s="37" t="str">
        <f>VLOOKUP($A62,'Day-13 Clean Dataset'!$A:$I,5,FALSE)</f>
        <v>Unknown</v>
      </c>
      <c r="F62" s="38" t="str">
        <f>VLOOKUP($A62,'Day-13 Clean Dataset'!$A:$I,6,FALSE)</f>
        <v>Unknown</v>
      </c>
      <c r="G62" s="37">
        <f>VLOOKUP($A62,'Day-13 Clean Dataset'!$A:$I,7,FALSE)</f>
        <v>5</v>
      </c>
      <c r="H62" s="37" t="str">
        <f>VLOOKUP($A62,'Day-13 Clean Dataset'!$A:$I,8,FALSE)</f>
        <v>Unknown</v>
      </c>
      <c r="I62" s="37" t="str">
        <f>VLOOKUP($A62,'Day-13 Clean Dataset'!$A:$I,9,FALSE)</f>
        <v>user112@example.com</v>
      </c>
    </row>
    <row r="63" spans="1:9" ht="19.95" customHeight="1" x14ac:dyDescent="0.3">
      <c r="A63" s="37" t="s">
        <v>70</v>
      </c>
      <c r="B63" s="37" t="str">
        <f>VLOOKUP($A63,'Day-13 Clean Dataset'!$A:$I,2,FALSE)</f>
        <v>Eve Adams</v>
      </c>
      <c r="C63" s="37" t="str">
        <f>VLOOKUP($A63,'Day-13 Clean Dataset'!$A:$I,3,FALSE)</f>
        <v>Unknown</v>
      </c>
      <c r="D63" s="37" t="str">
        <f>VLOOKUP($A63,'Day-13 Clean Dataset'!$A:$I,4,FALSE)</f>
        <v>Australia</v>
      </c>
      <c r="E63" s="37">
        <f>VLOOKUP($A63,'Day-13 Clean Dataset'!$A:$I,5,FALSE)</f>
        <v>31499</v>
      </c>
      <c r="F63" s="38">
        <f>VLOOKUP($A63,'Day-13 Clean Dataset'!$A:$I,6,FALSE)</f>
        <v>42435</v>
      </c>
      <c r="G63" s="37">
        <f>VLOOKUP($A63,'Day-13 Clean Dataset'!$A:$I,7,FALSE)</f>
        <v>2</v>
      </c>
      <c r="H63" s="37" t="str">
        <f>VLOOKUP($A63,'Day-13 Clean Dataset'!$A:$I,8,FALSE)</f>
        <v>Unknown</v>
      </c>
      <c r="I63" s="37" t="str">
        <f>VLOOKUP($A63,'Day-13 Clean Dataset'!$A:$I,9,FALSE)</f>
        <v>user31@example.com</v>
      </c>
    </row>
    <row r="64" spans="1:9" ht="19.95" customHeight="1" x14ac:dyDescent="0.3">
      <c r="A64" s="37" t="s">
        <v>71</v>
      </c>
      <c r="B64" s="37" t="str">
        <f>VLOOKUP($A64,'Day-13 Clean Dataset'!$A:$I,2,FALSE)</f>
        <v>Chris Lee</v>
      </c>
      <c r="C64" s="37" t="str">
        <f>VLOOKUP($A64,'Day-13 Clean Dataset'!$A:$I,3,FALSE)</f>
        <v>IT</v>
      </c>
      <c r="D64" s="37" t="str">
        <f>VLOOKUP($A64,'Day-13 Clean Dataset'!$A:$I,4,FALSE)</f>
        <v>UK</v>
      </c>
      <c r="E64" s="37">
        <f>VLOOKUP($A64,'Day-13 Clean Dataset'!$A:$I,5,FALSE)</f>
        <v>97981</v>
      </c>
      <c r="F64" s="38">
        <f>VLOOKUP($A64,'Day-13 Clean Dataset'!$A:$I,6,FALSE)</f>
        <v>42442</v>
      </c>
      <c r="G64" s="37">
        <f>VLOOKUP($A64,'Day-13 Clean Dataset'!$A:$I,7,FALSE)</f>
        <v>5</v>
      </c>
      <c r="H64" s="37" t="str">
        <f>VLOOKUP($A64,'Day-13 Clean Dataset'!$A:$I,8,FALSE)</f>
        <v>Female</v>
      </c>
      <c r="I64" s="37" t="str">
        <f>VLOOKUP($A64,'Day-13 Clean Dataset'!$A:$I,9,FALSE)</f>
        <v>user71@example.com</v>
      </c>
    </row>
    <row r="65" spans="1:9" ht="19.95" customHeight="1" x14ac:dyDescent="0.3">
      <c r="A65" s="37" t="s">
        <v>72</v>
      </c>
      <c r="B65" s="37" t="str">
        <f>VLOOKUP($A65,'Day-13 Clean Dataset'!$A:$I,2,FALSE)</f>
        <v>Eve Adams</v>
      </c>
      <c r="C65" s="37" t="str">
        <f>VLOOKUP($A65,'Day-13 Clean Dataset'!$A:$I,3,FALSE)</f>
        <v>HR</v>
      </c>
      <c r="D65" s="37" t="str">
        <f>VLOOKUP($A65,'Day-13 Clean Dataset'!$A:$I,4,FALSE)</f>
        <v>USA</v>
      </c>
      <c r="E65" s="37">
        <f>VLOOKUP($A65,'Day-13 Clean Dataset'!$A:$I,5,FALSE)</f>
        <v>36541</v>
      </c>
      <c r="F65" s="38">
        <f>VLOOKUP($A65,'Day-13 Clean Dataset'!$A:$I,6,FALSE)</f>
        <v>42449</v>
      </c>
      <c r="G65" s="37">
        <f>VLOOKUP($A65,'Day-13 Clean Dataset'!$A:$I,7,FALSE)</f>
        <v>2</v>
      </c>
      <c r="H65" s="37" t="str">
        <f>VLOOKUP($A65,'Day-13 Clean Dataset'!$A:$I,8,FALSE)</f>
        <v>Other</v>
      </c>
      <c r="I65" s="37" t="str">
        <f>VLOOKUP($A65,'Day-13 Clean Dataset'!$A:$I,9,FALSE)</f>
        <v>user97@example.com</v>
      </c>
    </row>
    <row r="66" spans="1:9" ht="19.95" customHeight="1" x14ac:dyDescent="0.3">
      <c r="A66" s="37" t="s">
        <v>73</v>
      </c>
      <c r="B66" s="37" t="str">
        <f>VLOOKUP($A66,'Day-13 Clean Dataset'!$A:$I,2,FALSE)</f>
        <v>John Doe</v>
      </c>
      <c r="C66" s="37" t="str">
        <f>VLOOKUP($A66,'Day-13 Clean Dataset'!$A:$I,3,FALSE)</f>
        <v>IT</v>
      </c>
      <c r="D66" s="37" t="str">
        <f>VLOOKUP($A66,'Day-13 Clean Dataset'!$A:$I,4,FALSE)</f>
        <v>India</v>
      </c>
      <c r="E66" s="37">
        <f>VLOOKUP($A66,'Day-13 Clean Dataset'!$A:$I,5,FALSE)</f>
        <v>84737</v>
      </c>
      <c r="F66" s="38">
        <f>VLOOKUP($A66,'Day-13 Clean Dataset'!$A:$I,6,FALSE)</f>
        <v>42456</v>
      </c>
      <c r="G66" s="37">
        <f>VLOOKUP($A66,'Day-13 Clean Dataset'!$A:$I,7,FALSE)</f>
        <v>1</v>
      </c>
      <c r="H66" s="37" t="str">
        <f>VLOOKUP($A66,'Day-13 Clean Dataset'!$A:$I,8,FALSE)</f>
        <v>Male</v>
      </c>
      <c r="I66" s="37" t="str">
        <f>VLOOKUP($A66,'Day-13 Clean Dataset'!$A:$I,9,FALSE)</f>
        <v>user141@example.com</v>
      </c>
    </row>
    <row r="67" spans="1:9" ht="19.95" customHeight="1" x14ac:dyDescent="0.3">
      <c r="A67" s="37" t="s">
        <v>74</v>
      </c>
      <c r="B67" s="37" t="str">
        <f>VLOOKUP($A67,'Day-13 Clean Dataset'!$A:$I,2,FALSE)</f>
        <v>Sam Wilson</v>
      </c>
      <c r="C67" s="37" t="str">
        <f>VLOOKUP($A67,'Day-13 Clean Dataset'!$A:$I,3,FALSE)</f>
        <v>Finance</v>
      </c>
      <c r="D67" s="37" t="str">
        <f>VLOOKUP($A67,'Day-13 Clean Dataset'!$A:$I,4,FALSE)</f>
        <v>India</v>
      </c>
      <c r="E67" s="37">
        <f>VLOOKUP($A67,'Day-13 Clean Dataset'!$A:$I,5,FALSE)</f>
        <v>33468</v>
      </c>
      <c r="F67" s="38">
        <f>VLOOKUP($A67,'Day-13 Clean Dataset'!$A:$I,6,FALSE)</f>
        <v>42463</v>
      </c>
      <c r="G67" s="37">
        <f>VLOOKUP($A67,'Day-13 Clean Dataset'!$A:$I,7,FALSE)</f>
        <v>4</v>
      </c>
      <c r="H67" s="37" t="str">
        <f>VLOOKUP($A67,'Day-13 Clean Dataset'!$A:$I,8,FALSE)</f>
        <v>Male</v>
      </c>
      <c r="I67" s="37" t="str">
        <f>VLOOKUP($A67,'Day-13 Clean Dataset'!$A:$I,9,FALSE)</f>
        <v>user125@example.com</v>
      </c>
    </row>
    <row r="68" spans="1:9" ht="19.95" customHeight="1" x14ac:dyDescent="0.3">
      <c r="A68" s="37" t="s">
        <v>75</v>
      </c>
      <c r="B68" s="37" t="str">
        <f>VLOOKUP($A68,'Day-13 Clean Dataset'!$A:$I,2,FALSE)</f>
        <v>Sam Wilson</v>
      </c>
      <c r="C68" s="37" t="str">
        <f>VLOOKUP($A68,'Day-13 Clean Dataset'!$A:$I,3,FALSE)</f>
        <v>Unknown</v>
      </c>
      <c r="D68" s="37" t="str">
        <f>VLOOKUP($A68,'Day-13 Clean Dataset'!$A:$I,4,FALSE)</f>
        <v>Australia</v>
      </c>
      <c r="E68" s="37">
        <f>VLOOKUP($A68,'Day-13 Clean Dataset'!$A:$I,5,FALSE)</f>
        <v>96365</v>
      </c>
      <c r="F68" s="38">
        <f>VLOOKUP($A68,'Day-13 Clean Dataset'!$A:$I,6,FALSE)</f>
        <v>42470</v>
      </c>
      <c r="G68" s="37">
        <f>VLOOKUP($A68,'Day-13 Clean Dataset'!$A:$I,7,FALSE)</f>
        <v>3</v>
      </c>
      <c r="H68" s="37" t="str">
        <f>VLOOKUP($A68,'Day-13 Clean Dataset'!$A:$I,8,FALSE)</f>
        <v>Other</v>
      </c>
      <c r="I68" s="37" t="str">
        <f>VLOOKUP($A68,'Day-13 Clean Dataset'!$A:$I,9,FALSE)</f>
        <v>user90@example.com</v>
      </c>
    </row>
    <row r="69" spans="1:9" ht="19.95" customHeight="1" x14ac:dyDescent="0.3">
      <c r="A69" s="37" t="s">
        <v>76</v>
      </c>
      <c r="B69" s="37" t="str">
        <f>VLOOKUP($A69,'Day-13 Clean Dataset'!$A:$I,2,FALSE)</f>
        <v>Alice Brown</v>
      </c>
      <c r="C69" s="37" t="str">
        <f>VLOOKUP($A69,'Day-13 Clean Dataset'!$A:$I,3,FALSE)</f>
        <v>Sales</v>
      </c>
      <c r="D69" s="37" t="str">
        <f>VLOOKUP($A69,'Day-13 Clean Dataset'!$A:$I,4,FALSE)</f>
        <v>India</v>
      </c>
      <c r="E69" s="37">
        <f>VLOOKUP($A69,'Day-13 Clean Dataset'!$A:$I,5,FALSE)</f>
        <v>61942</v>
      </c>
      <c r="F69" s="38">
        <f>VLOOKUP($A69,'Day-13 Clean Dataset'!$A:$I,6,FALSE)</f>
        <v>42477</v>
      </c>
      <c r="G69" s="37">
        <f>VLOOKUP($A69,'Day-13 Clean Dataset'!$A:$I,7,FALSE)</f>
        <v>3</v>
      </c>
      <c r="H69" s="37" t="str">
        <f>VLOOKUP($A69,'Day-13 Clean Dataset'!$A:$I,8,FALSE)</f>
        <v>Female</v>
      </c>
      <c r="I69" s="37" t="str">
        <f>VLOOKUP($A69,'Day-13 Clean Dataset'!$A:$I,9,FALSE)</f>
        <v>user192@example.com</v>
      </c>
    </row>
    <row r="70" spans="1:9" ht="19.95" customHeight="1" x14ac:dyDescent="0.3">
      <c r="A70" s="37" t="s">
        <v>77</v>
      </c>
      <c r="B70" s="37" t="str">
        <f>VLOOKUP($A70,'Day-13 Clean Dataset'!$A:$I,2,FALSE)</f>
        <v>Sam Wilson</v>
      </c>
      <c r="C70" s="37" t="str">
        <f>VLOOKUP($A70,'Day-13 Clean Dataset'!$A:$I,3,FALSE)</f>
        <v>Finance</v>
      </c>
      <c r="D70" s="37" t="str">
        <f>VLOOKUP($A70,'Day-13 Clean Dataset'!$A:$I,4,FALSE)</f>
        <v>UK</v>
      </c>
      <c r="E70" s="37">
        <f>VLOOKUP($A70,'Day-13 Clean Dataset'!$A:$I,5,FALSE)</f>
        <v>41467</v>
      </c>
      <c r="F70" s="38">
        <f>VLOOKUP($A70,'Day-13 Clean Dataset'!$A:$I,6,FALSE)</f>
        <v>42484</v>
      </c>
      <c r="G70" s="37">
        <f>VLOOKUP($A70,'Day-13 Clean Dataset'!$A:$I,7,FALSE)</f>
        <v>2</v>
      </c>
      <c r="H70" s="37" t="str">
        <f>VLOOKUP($A70,'Day-13 Clean Dataset'!$A:$I,8,FALSE)</f>
        <v>Unknown</v>
      </c>
      <c r="I70" s="37" t="str">
        <f>VLOOKUP($A70,'Day-13 Clean Dataset'!$A:$I,9,FALSE)</f>
        <v>user77@example.com</v>
      </c>
    </row>
    <row r="71" spans="1:9" ht="19.95" customHeight="1" x14ac:dyDescent="0.3">
      <c r="A71" s="37" t="s">
        <v>78</v>
      </c>
      <c r="B71" s="37" t="str">
        <f>VLOOKUP($A71,'Day-13 Clean Dataset'!$A:$I,2,FALSE)</f>
        <v>Bob Johnson</v>
      </c>
      <c r="C71" s="37" t="str">
        <f>VLOOKUP($A71,'Day-13 Clean Dataset'!$A:$I,3,FALSE)</f>
        <v>Finance</v>
      </c>
      <c r="D71" s="37" t="str">
        <f>VLOOKUP($A71,'Day-13 Clean Dataset'!$A:$I,4,FALSE)</f>
        <v>India</v>
      </c>
      <c r="E71" s="37">
        <f>VLOOKUP($A71,'Day-13 Clean Dataset'!$A:$I,5,FALSE)</f>
        <v>77096</v>
      </c>
      <c r="F71" s="38">
        <f>VLOOKUP($A71,'Day-13 Clean Dataset'!$A:$I,6,FALSE)</f>
        <v>42491</v>
      </c>
      <c r="G71" s="37">
        <f>VLOOKUP($A71,'Day-13 Clean Dataset'!$A:$I,7,FALSE)</f>
        <v>1</v>
      </c>
      <c r="H71" s="37" t="str">
        <f>VLOOKUP($A71,'Day-13 Clean Dataset'!$A:$I,8,FALSE)</f>
        <v>Unknown</v>
      </c>
      <c r="I71" s="37" t="str">
        <f>VLOOKUP($A71,'Day-13 Clean Dataset'!$A:$I,9,FALSE)</f>
        <v>user65@example.com</v>
      </c>
    </row>
    <row r="72" spans="1:9" ht="19.95" customHeight="1" x14ac:dyDescent="0.3">
      <c r="A72" s="37" t="s">
        <v>79</v>
      </c>
      <c r="B72" s="37" t="str">
        <f>VLOOKUP($A72,'Day-13 Clean Dataset'!$A:$I,2,FALSE)</f>
        <v>Eve Adams</v>
      </c>
      <c r="C72" s="37" t="str">
        <f>VLOOKUP($A72,'Day-13 Clean Dataset'!$A:$I,3,FALSE)</f>
        <v>Sales</v>
      </c>
      <c r="D72" s="37" t="str">
        <f>VLOOKUP($A72,'Day-13 Clean Dataset'!$A:$I,4,FALSE)</f>
        <v>Australia</v>
      </c>
      <c r="E72" s="37">
        <f>VLOOKUP($A72,'Day-13 Clean Dataset'!$A:$I,5,FALSE)</f>
        <v>69952</v>
      </c>
      <c r="F72" s="38">
        <f>VLOOKUP($A72,'Day-13 Clean Dataset'!$A:$I,6,FALSE)</f>
        <v>42498</v>
      </c>
      <c r="G72" s="37">
        <f>VLOOKUP($A72,'Day-13 Clean Dataset'!$A:$I,7,FALSE)</f>
        <v>5</v>
      </c>
      <c r="H72" s="37" t="str">
        <f>VLOOKUP($A72,'Day-13 Clean Dataset'!$A:$I,8,FALSE)</f>
        <v>Female</v>
      </c>
      <c r="I72" s="37" t="str">
        <f>VLOOKUP($A72,'Day-13 Clean Dataset'!$A:$I,9,FALSE)</f>
        <v>Unknown</v>
      </c>
    </row>
    <row r="73" spans="1:9" ht="19.95" customHeight="1" x14ac:dyDescent="0.3">
      <c r="A73" s="37" t="s">
        <v>80</v>
      </c>
      <c r="B73" s="37" t="str">
        <f>VLOOKUP($A73,'Day-13 Clean Dataset'!$A:$I,2,FALSE)</f>
        <v>Eve Adams</v>
      </c>
      <c r="C73" s="37" t="str">
        <f>VLOOKUP($A73,'Day-13 Clean Dataset'!$A:$I,3,FALSE)</f>
        <v>Marketing</v>
      </c>
      <c r="D73" s="37" t="str">
        <f>VLOOKUP($A73,'Day-13 Clean Dataset'!$A:$I,4,FALSE)</f>
        <v>USA</v>
      </c>
      <c r="E73" s="37">
        <f>VLOOKUP($A73,'Day-13 Clean Dataset'!$A:$I,5,FALSE)</f>
        <v>85065</v>
      </c>
      <c r="F73" s="38">
        <f>VLOOKUP($A73,'Day-13 Clean Dataset'!$A:$I,6,FALSE)</f>
        <v>42505</v>
      </c>
      <c r="G73" s="37">
        <f>VLOOKUP($A73,'Day-13 Clean Dataset'!$A:$I,7,FALSE)</f>
        <v>3</v>
      </c>
      <c r="H73" s="37" t="str">
        <f>VLOOKUP($A73,'Day-13 Clean Dataset'!$A:$I,8,FALSE)</f>
        <v>Unknown</v>
      </c>
      <c r="I73" s="37" t="str">
        <f>VLOOKUP($A73,'Day-13 Clean Dataset'!$A:$I,9,FALSE)</f>
        <v>user142@example.com</v>
      </c>
    </row>
    <row r="74" spans="1:9" ht="19.95" customHeight="1" x14ac:dyDescent="0.3">
      <c r="A74" s="37" t="s">
        <v>81</v>
      </c>
      <c r="B74" s="37" t="str">
        <f>VLOOKUP($A74,'Day-13 Clean Dataset'!$A:$I,2,FALSE)</f>
        <v>Bob Johnson</v>
      </c>
      <c r="C74" s="37" t="str">
        <f>VLOOKUP($A74,'Day-13 Clean Dataset'!$A:$I,3,FALSE)</f>
        <v>Marketing</v>
      </c>
      <c r="D74" s="37" t="str">
        <f>VLOOKUP($A74,'Day-13 Clean Dataset'!$A:$I,4,FALSE)</f>
        <v>India</v>
      </c>
      <c r="E74" s="37">
        <f>VLOOKUP($A74,'Day-13 Clean Dataset'!$A:$I,5,FALSE)</f>
        <v>56512</v>
      </c>
      <c r="F74" s="38">
        <f>VLOOKUP($A74,'Day-13 Clean Dataset'!$A:$I,6,FALSE)</f>
        <v>42512</v>
      </c>
      <c r="G74" s="37" t="str">
        <f>VLOOKUP($A74,'Day-13 Clean Dataset'!$A:$I,7,FALSE)</f>
        <v>Unknown</v>
      </c>
      <c r="H74" s="37" t="str">
        <f>VLOOKUP($A74,'Day-13 Clean Dataset'!$A:$I,8,FALSE)</f>
        <v>Other</v>
      </c>
      <c r="I74" s="37" t="str">
        <f>VLOOKUP($A74,'Day-13 Clean Dataset'!$A:$I,9,FALSE)</f>
        <v>user153@example.com</v>
      </c>
    </row>
    <row r="75" spans="1:9" ht="19.95" customHeight="1" x14ac:dyDescent="0.3">
      <c r="A75" s="37" t="s">
        <v>82</v>
      </c>
      <c r="B75" s="37" t="str">
        <f>VLOOKUP($A75,'Day-13 Clean Dataset'!$A:$I,2,FALSE)</f>
        <v>John Doe</v>
      </c>
      <c r="C75" s="37" t="str">
        <f>VLOOKUP($A75,'Day-13 Clean Dataset'!$A:$I,3,FALSE)</f>
        <v>Sales</v>
      </c>
      <c r="D75" s="37" t="str">
        <f>VLOOKUP($A75,'Day-13 Clean Dataset'!$A:$I,4,FALSE)</f>
        <v>India</v>
      </c>
      <c r="E75" s="37">
        <f>VLOOKUP($A75,'Day-13 Clean Dataset'!$A:$I,5,FALSE)</f>
        <v>91101</v>
      </c>
      <c r="F75" s="38">
        <f>VLOOKUP($A75,'Day-13 Clean Dataset'!$A:$I,6,FALSE)</f>
        <v>42519</v>
      </c>
      <c r="G75" s="37">
        <f>VLOOKUP($A75,'Day-13 Clean Dataset'!$A:$I,7,FALSE)</f>
        <v>4</v>
      </c>
      <c r="H75" s="37" t="str">
        <f>VLOOKUP($A75,'Day-13 Clean Dataset'!$A:$I,8,FALSE)</f>
        <v>Female</v>
      </c>
      <c r="I75" s="37" t="str">
        <f>VLOOKUP($A75,'Day-13 Clean Dataset'!$A:$I,9,FALSE)</f>
        <v>user71@example.com</v>
      </c>
    </row>
    <row r="76" spans="1:9" ht="19.95" customHeight="1" x14ac:dyDescent="0.3">
      <c r="A76" s="37" t="s">
        <v>83</v>
      </c>
      <c r="B76" s="37" t="str">
        <f>VLOOKUP($A76,'Day-13 Clean Dataset'!$A:$I,2,FALSE)</f>
        <v>Sam Wilson</v>
      </c>
      <c r="C76" s="37" t="str">
        <f>VLOOKUP($A76,'Day-13 Clean Dataset'!$A:$I,3,FALSE)</f>
        <v>Unknown</v>
      </c>
      <c r="D76" s="37" t="str">
        <f>VLOOKUP($A76,'Day-13 Clean Dataset'!$A:$I,4,FALSE)</f>
        <v>Germany</v>
      </c>
      <c r="E76" s="37">
        <f>VLOOKUP($A76,'Day-13 Clean Dataset'!$A:$I,5,FALSE)</f>
        <v>41243</v>
      </c>
      <c r="F76" s="38">
        <f>VLOOKUP($A76,'Day-13 Clean Dataset'!$A:$I,6,FALSE)</f>
        <v>42526</v>
      </c>
      <c r="G76" s="37" t="str">
        <f>VLOOKUP($A76,'Day-13 Clean Dataset'!$A:$I,7,FALSE)</f>
        <v>Unknown</v>
      </c>
      <c r="H76" s="37" t="str">
        <f>VLOOKUP($A76,'Day-13 Clean Dataset'!$A:$I,8,FALSE)</f>
        <v>Unknown</v>
      </c>
      <c r="I76" s="37" t="str">
        <f>VLOOKUP($A76,'Day-13 Clean Dataset'!$A:$I,9,FALSE)</f>
        <v>user143@example.com</v>
      </c>
    </row>
    <row r="77" spans="1:9" ht="19.95" customHeight="1" x14ac:dyDescent="0.3">
      <c r="A77" s="37" t="s">
        <v>84</v>
      </c>
      <c r="B77" s="37" t="str">
        <f>VLOOKUP($A77,'Day-13 Clean Dataset'!$A:$I,2,FALSE)</f>
        <v>Unknown</v>
      </c>
      <c r="C77" s="37" t="str">
        <f>VLOOKUP($A77,'Day-13 Clean Dataset'!$A:$I,3,FALSE)</f>
        <v>Sales</v>
      </c>
      <c r="D77" s="37" t="str">
        <f>VLOOKUP($A77,'Day-13 Clean Dataset'!$A:$I,4,FALSE)</f>
        <v>Unknown</v>
      </c>
      <c r="E77" s="37">
        <f>VLOOKUP($A77,'Day-13 Clean Dataset'!$A:$I,5,FALSE)</f>
        <v>96142</v>
      </c>
      <c r="F77" s="38">
        <f>VLOOKUP($A77,'Day-13 Clean Dataset'!$A:$I,6,FALSE)</f>
        <v>42533</v>
      </c>
      <c r="G77" s="37">
        <f>VLOOKUP($A77,'Day-13 Clean Dataset'!$A:$I,7,FALSE)</f>
        <v>1</v>
      </c>
      <c r="H77" s="37" t="str">
        <f>VLOOKUP($A77,'Day-13 Clean Dataset'!$A:$I,8,FALSE)</f>
        <v>Other</v>
      </c>
      <c r="I77" s="37" t="str">
        <f>VLOOKUP($A77,'Day-13 Clean Dataset'!$A:$I,9,FALSE)</f>
        <v>user17@example.com</v>
      </c>
    </row>
    <row r="78" spans="1:9" ht="19.95" customHeight="1" x14ac:dyDescent="0.3">
      <c r="A78" s="37" t="s">
        <v>85</v>
      </c>
      <c r="B78" s="37" t="str">
        <f>VLOOKUP($A78,'Day-13 Clean Dataset'!$A:$I,2,FALSE)</f>
        <v>Eve Adams</v>
      </c>
      <c r="C78" s="37" t="str">
        <f>VLOOKUP($A78,'Day-13 Clean Dataset'!$A:$I,3,FALSE)</f>
        <v>IT</v>
      </c>
      <c r="D78" s="37" t="str">
        <f>VLOOKUP($A78,'Day-13 Clean Dataset'!$A:$I,4,FALSE)</f>
        <v>India</v>
      </c>
      <c r="E78" s="37">
        <f>VLOOKUP($A78,'Day-13 Clean Dataset'!$A:$I,5,FALSE)</f>
        <v>94301</v>
      </c>
      <c r="F78" s="38">
        <f>VLOOKUP($A78,'Day-13 Clean Dataset'!$A:$I,6,FALSE)</f>
        <v>42540</v>
      </c>
      <c r="G78" s="37">
        <f>VLOOKUP($A78,'Day-13 Clean Dataset'!$A:$I,7,FALSE)</f>
        <v>1</v>
      </c>
      <c r="H78" s="37" t="str">
        <f>VLOOKUP($A78,'Day-13 Clean Dataset'!$A:$I,8,FALSE)</f>
        <v>Male</v>
      </c>
      <c r="I78" s="37" t="str">
        <f>VLOOKUP($A78,'Day-13 Clean Dataset'!$A:$I,9,FALSE)</f>
        <v>user20@example.com</v>
      </c>
    </row>
    <row r="79" spans="1:9" ht="19.95" customHeight="1" x14ac:dyDescent="0.3">
      <c r="A79" s="37" t="s">
        <v>86</v>
      </c>
      <c r="B79" s="37" t="str">
        <f>VLOOKUP($A79,'Day-13 Clean Dataset'!$A:$I,2,FALSE)</f>
        <v>Jane Smith</v>
      </c>
      <c r="C79" s="37" t="str">
        <f>VLOOKUP($A79,'Day-13 Clean Dataset'!$A:$I,3,FALSE)</f>
        <v>Unknown</v>
      </c>
      <c r="D79" s="37" t="str">
        <f>VLOOKUP($A79,'Day-13 Clean Dataset'!$A:$I,4,FALSE)</f>
        <v>UK</v>
      </c>
      <c r="E79" s="37">
        <f>VLOOKUP($A79,'Day-13 Clean Dataset'!$A:$I,5,FALSE)</f>
        <v>69166</v>
      </c>
      <c r="F79" s="38">
        <f>VLOOKUP($A79,'Day-13 Clean Dataset'!$A:$I,6,FALSE)</f>
        <v>42547</v>
      </c>
      <c r="G79" s="37">
        <f>VLOOKUP($A79,'Day-13 Clean Dataset'!$A:$I,7,FALSE)</f>
        <v>1</v>
      </c>
      <c r="H79" s="37" t="str">
        <f>VLOOKUP($A79,'Day-13 Clean Dataset'!$A:$I,8,FALSE)</f>
        <v>Female</v>
      </c>
      <c r="I79" s="37" t="str">
        <f>VLOOKUP($A79,'Day-13 Clean Dataset'!$A:$I,9,FALSE)</f>
        <v>user22@example.com</v>
      </c>
    </row>
    <row r="80" spans="1:9" ht="19.95" customHeight="1" x14ac:dyDescent="0.3">
      <c r="A80" s="37" t="s">
        <v>87</v>
      </c>
      <c r="B80" s="37" t="str">
        <f>VLOOKUP($A80,'Day-13 Clean Dataset'!$A:$I,2,FALSE)</f>
        <v>Sam Wilson</v>
      </c>
      <c r="C80" s="37" t="str">
        <f>VLOOKUP($A80,'Day-13 Clean Dataset'!$A:$I,3,FALSE)</f>
        <v>Unknown</v>
      </c>
      <c r="D80" s="37" t="str">
        <f>VLOOKUP($A80,'Day-13 Clean Dataset'!$A:$I,4,FALSE)</f>
        <v>UK</v>
      </c>
      <c r="E80" s="37">
        <f>VLOOKUP($A80,'Day-13 Clean Dataset'!$A:$I,5,FALSE)</f>
        <v>78245</v>
      </c>
      <c r="F80" s="38">
        <f>VLOOKUP($A80,'Day-13 Clean Dataset'!$A:$I,6,FALSE)</f>
        <v>42554</v>
      </c>
      <c r="G80" s="37">
        <f>VLOOKUP($A80,'Day-13 Clean Dataset'!$A:$I,7,FALSE)</f>
        <v>2</v>
      </c>
      <c r="H80" s="37" t="str">
        <f>VLOOKUP($A80,'Day-13 Clean Dataset'!$A:$I,8,FALSE)</f>
        <v>Unknown</v>
      </c>
      <c r="I80" s="37" t="str">
        <f>VLOOKUP($A80,'Day-13 Clean Dataset'!$A:$I,9,FALSE)</f>
        <v>user46@example.com</v>
      </c>
    </row>
    <row r="81" spans="1:9" ht="19.95" customHeight="1" x14ac:dyDescent="0.3">
      <c r="A81" s="37" t="s">
        <v>88</v>
      </c>
      <c r="B81" s="37" t="str">
        <f>VLOOKUP($A81,'Day-13 Clean Dataset'!$A:$I,2,FALSE)</f>
        <v>Chris Lee</v>
      </c>
      <c r="C81" s="37" t="str">
        <f>VLOOKUP($A81,'Day-13 Clean Dataset'!$A:$I,3,FALSE)</f>
        <v>Sales</v>
      </c>
      <c r="D81" s="37" t="str">
        <f>VLOOKUP($A81,'Day-13 Clean Dataset'!$A:$I,4,FALSE)</f>
        <v>USA</v>
      </c>
      <c r="E81" s="37">
        <f>VLOOKUP($A81,'Day-13 Clean Dataset'!$A:$I,5,FALSE)</f>
        <v>66079</v>
      </c>
      <c r="F81" s="38">
        <f>VLOOKUP($A81,'Day-13 Clean Dataset'!$A:$I,6,FALSE)</f>
        <v>42561</v>
      </c>
      <c r="G81" s="37">
        <f>VLOOKUP($A81,'Day-13 Clean Dataset'!$A:$I,7,FALSE)</f>
        <v>2</v>
      </c>
      <c r="H81" s="37" t="str">
        <f>VLOOKUP($A81,'Day-13 Clean Dataset'!$A:$I,8,FALSE)</f>
        <v>Other</v>
      </c>
      <c r="I81" s="37" t="str">
        <f>VLOOKUP($A81,'Day-13 Clean Dataset'!$A:$I,9,FALSE)</f>
        <v>user55@example.com</v>
      </c>
    </row>
    <row r="82" spans="1:9" ht="19.95" customHeight="1" x14ac:dyDescent="0.3">
      <c r="A82" s="37" t="s">
        <v>89</v>
      </c>
      <c r="B82" s="37" t="str">
        <f>VLOOKUP($A82,'Day-13 Clean Dataset'!$A:$I,2,FALSE)</f>
        <v>Eve Adams</v>
      </c>
      <c r="C82" s="37" t="str">
        <f>VLOOKUP($A82,'Day-13 Clean Dataset'!$A:$I,3,FALSE)</f>
        <v>Marketing</v>
      </c>
      <c r="D82" s="37" t="str">
        <f>VLOOKUP($A82,'Day-13 Clean Dataset'!$A:$I,4,FALSE)</f>
        <v>India</v>
      </c>
      <c r="E82" s="37" t="str">
        <f>VLOOKUP($A82,'Day-13 Clean Dataset'!$A:$I,5,FALSE)</f>
        <v>Unknown</v>
      </c>
      <c r="F82" s="38" t="str">
        <f>VLOOKUP($A82,'Day-13 Clean Dataset'!$A:$I,6,FALSE)</f>
        <v>Unknown</v>
      </c>
      <c r="G82" s="37" t="str">
        <f>VLOOKUP($A82,'Day-13 Clean Dataset'!$A:$I,7,FALSE)</f>
        <v>Unknown</v>
      </c>
      <c r="H82" s="37" t="str">
        <f>VLOOKUP($A82,'Day-13 Clean Dataset'!$A:$I,8,FALSE)</f>
        <v>Unknown</v>
      </c>
      <c r="I82" s="37" t="str">
        <f>VLOOKUP($A82,'Day-13 Clean Dataset'!$A:$I,9,FALSE)</f>
        <v>user135@example.com</v>
      </c>
    </row>
    <row r="83" spans="1:9" ht="19.95" customHeight="1" x14ac:dyDescent="0.3">
      <c r="A83" s="37" t="s">
        <v>90</v>
      </c>
      <c r="B83" s="37" t="str">
        <f>VLOOKUP($A83,'Day-13 Clean Dataset'!$A:$I,2,FALSE)</f>
        <v>Jane Smith</v>
      </c>
      <c r="C83" s="37" t="str">
        <f>VLOOKUP($A83,'Day-13 Clean Dataset'!$A:$I,3,FALSE)</f>
        <v>Sales</v>
      </c>
      <c r="D83" s="37" t="str">
        <f>VLOOKUP($A83,'Day-13 Clean Dataset'!$A:$I,4,FALSE)</f>
        <v>USA</v>
      </c>
      <c r="E83" s="37">
        <f>VLOOKUP($A83,'Day-13 Clean Dataset'!$A:$I,5,FALSE)</f>
        <v>95621</v>
      </c>
      <c r="F83" s="38">
        <f>VLOOKUP($A83,'Day-13 Clean Dataset'!$A:$I,6,FALSE)</f>
        <v>42575</v>
      </c>
      <c r="G83" s="37">
        <f>VLOOKUP($A83,'Day-13 Clean Dataset'!$A:$I,7,FALSE)</f>
        <v>3</v>
      </c>
      <c r="H83" s="37" t="str">
        <f>VLOOKUP($A83,'Day-13 Clean Dataset'!$A:$I,8,FALSE)</f>
        <v>Female</v>
      </c>
      <c r="I83" s="37" t="str">
        <f>VLOOKUP($A83,'Day-13 Clean Dataset'!$A:$I,9,FALSE)</f>
        <v>user156@example.com</v>
      </c>
    </row>
    <row r="84" spans="1:9" ht="19.95" customHeight="1" x14ac:dyDescent="0.3">
      <c r="A84" s="37" t="s">
        <v>91</v>
      </c>
      <c r="B84" s="37" t="str">
        <f>VLOOKUP($A84,'Day-13 Clean Dataset'!$A:$I,2,FALSE)</f>
        <v>Eve Adams</v>
      </c>
      <c r="C84" s="37" t="str">
        <f>VLOOKUP($A84,'Day-13 Clean Dataset'!$A:$I,3,FALSE)</f>
        <v>IT</v>
      </c>
      <c r="D84" s="37" t="str">
        <f>VLOOKUP($A84,'Day-13 Clean Dataset'!$A:$I,4,FALSE)</f>
        <v>UK</v>
      </c>
      <c r="E84" s="37">
        <f>VLOOKUP($A84,'Day-13 Clean Dataset'!$A:$I,5,FALSE)</f>
        <v>42262</v>
      </c>
      <c r="F84" s="38">
        <f>VLOOKUP($A84,'Day-13 Clean Dataset'!$A:$I,6,FALSE)</f>
        <v>42582</v>
      </c>
      <c r="G84" s="37">
        <f>VLOOKUP($A84,'Day-13 Clean Dataset'!$A:$I,7,FALSE)</f>
        <v>1</v>
      </c>
      <c r="H84" s="37" t="str">
        <f>VLOOKUP($A84,'Day-13 Clean Dataset'!$A:$I,8,FALSE)</f>
        <v>Unknown</v>
      </c>
      <c r="I84" s="37" t="str">
        <f>VLOOKUP($A84,'Day-13 Clean Dataset'!$A:$I,9,FALSE)</f>
        <v>user104@example.com</v>
      </c>
    </row>
    <row r="85" spans="1:9" ht="19.95" customHeight="1" x14ac:dyDescent="0.3">
      <c r="A85" s="37" t="s">
        <v>92</v>
      </c>
      <c r="B85" s="37" t="str">
        <f>VLOOKUP($A85,'Day-13 Clean Dataset'!$A:$I,2,FALSE)</f>
        <v>Sam Wilson</v>
      </c>
      <c r="C85" s="37" t="str">
        <f>VLOOKUP($A85,'Day-13 Clean Dataset'!$A:$I,3,FALSE)</f>
        <v>Sales</v>
      </c>
      <c r="D85" s="37" t="str">
        <f>VLOOKUP($A85,'Day-13 Clean Dataset'!$A:$I,4,FALSE)</f>
        <v>India</v>
      </c>
      <c r="E85" s="37">
        <f>VLOOKUP($A85,'Day-13 Clean Dataset'!$A:$I,5,FALSE)</f>
        <v>99621</v>
      </c>
      <c r="F85" s="38">
        <f>VLOOKUP($A85,'Day-13 Clean Dataset'!$A:$I,6,FALSE)</f>
        <v>42589</v>
      </c>
      <c r="G85" s="37" t="str">
        <f>VLOOKUP($A85,'Day-13 Clean Dataset'!$A:$I,7,FALSE)</f>
        <v>Unknown</v>
      </c>
      <c r="H85" s="37" t="str">
        <f>VLOOKUP($A85,'Day-13 Clean Dataset'!$A:$I,8,FALSE)</f>
        <v>Other</v>
      </c>
      <c r="I85" s="37" t="str">
        <f>VLOOKUP($A85,'Day-13 Clean Dataset'!$A:$I,9,FALSE)</f>
        <v>user145@example.com</v>
      </c>
    </row>
    <row r="86" spans="1:9" ht="19.95" customHeight="1" x14ac:dyDescent="0.3">
      <c r="A86" s="37" t="s">
        <v>93</v>
      </c>
      <c r="B86" s="37" t="str">
        <f>VLOOKUP($A86,'Day-13 Clean Dataset'!$A:$I,2,FALSE)</f>
        <v>John Doe</v>
      </c>
      <c r="C86" s="37" t="str">
        <f>VLOOKUP($A86,'Day-13 Clean Dataset'!$A:$I,3,FALSE)</f>
        <v>Marketing</v>
      </c>
      <c r="D86" s="37" t="str">
        <f>VLOOKUP($A86,'Day-13 Clean Dataset'!$A:$I,4,FALSE)</f>
        <v>India</v>
      </c>
      <c r="E86" s="37">
        <f>VLOOKUP($A86,'Day-13 Clean Dataset'!$A:$I,5,FALSE)</f>
        <v>44682</v>
      </c>
      <c r="F86" s="38">
        <f>VLOOKUP($A86,'Day-13 Clean Dataset'!$A:$I,6,FALSE)</f>
        <v>42596</v>
      </c>
      <c r="G86" s="37">
        <f>VLOOKUP($A86,'Day-13 Clean Dataset'!$A:$I,7,FALSE)</f>
        <v>4</v>
      </c>
      <c r="H86" s="37" t="str">
        <f>VLOOKUP($A86,'Day-13 Clean Dataset'!$A:$I,8,FALSE)</f>
        <v>Female</v>
      </c>
      <c r="I86" s="37" t="str">
        <f>VLOOKUP($A86,'Day-13 Clean Dataset'!$A:$I,9,FALSE)</f>
        <v>user47@example.com</v>
      </c>
    </row>
    <row r="87" spans="1:9" ht="19.95" customHeight="1" x14ac:dyDescent="0.3">
      <c r="A87" s="37" t="s">
        <v>94</v>
      </c>
      <c r="B87" s="37" t="str">
        <f>VLOOKUP($A87,'Day-13 Clean Dataset'!$A:$I,2,FALSE)</f>
        <v>Chris Lee</v>
      </c>
      <c r="C87" s="37" t="str">
        <f>VLOOKUP($A87,'Day-13 Clean Dataset'!$A:$I,3,FALSE)</f>
        <v>Finance</v>
      </c>
      <c r="D87" s="37" t="str">
        <f>VLOOKUP($A87,'Day-13 Clean Dataset'!$A:$I,4,FALSE)</f>
        <v>Unknown</v>
      </c>
      <c r="E87" s="37">
        <f>VLOOKUP($A87,'Day-13 Clean Dataset'!$A:$I,5,FALSE)</f>
        <v>35163</v>
      </c>
      <c r="F87" s="38">
        <f>VLOOKUP($A87,'Day-13 Clean Dataset'!$A:$I,6,FALSE)</f>
        <v>42603</v>
      </c>
      <c r="G87" s="37">
        <f>VLOOKUP($A87,'Day-13 Clean Dataset'!$A:$I,7,FALSE)</f>
        <v>5</v>
      </c>
      <c r="H87" s="37" t="str">
        <f>VLOOKUP($A87,'Day-13 Clean Dataset'!$A:$I,8,FALSE)</f>
        <v>Other</v>
      </c>
      <c r="I87" s="37" t="str">
        <f>VLOOKUP($A87,'Day-13 Clean Dataset'!$A:$I,9,FALSE)</f>
        <v>user197@example.com</v>
      </c>
    </row>
    <row r="88" spans="1:9" ht="19.95" customHeight="1" x14ac:dyDescent="0.3">
      <c r="A88" s="37" t="s">
        <v>95</v>
      </c>
      <c r="B88" s="37" t="str">
        <f>VLOOKUP($A88,'Day-13 Clean Dataset'!$A:$I,2,FALSE)</f>
        <v>Chris Lee</v>
      </c>
      <c r="C88" s="37" t="str">
        <f>VLOOKUP($A88,'Day-13 Clean Dataset'!$A:$I,3,FALSE)</f>
        <v>IT</v>
      </c>
      <c r="D88" s="37" t="str">
        <f>VLOOKUP($A88,'Day-13 Clean Dataset'!$A:$I,4,FALSE)</f>
        <v>India</v>
      </c>
      <c r="E88" s="37">
        <f>VLOOKUP($A88,'Day-13 Clean Dataset'!$A:$I,5,FALSE)</f>
        <v>33483</v>
      </c>
      <c r="F88" s="38">
        <f>VLOOKUP($A88,'Day-13 Clean Dataset'!$A:$I,6,FALSE)</f>
        <v>42610</v>
      </c>
      <c r="G88" s="37">
        <f>VLOOKUP($A88,'Day-13 Clean Dataset'!$A:$I,7,FALSE)</f>
        <v>4</v>
      </c>
      <c r="H88" s="37" t="str">
        <f>VLOOKUP($A88,'Day-13 Clean Dataset'!$A:$I,8,FALSE)</f>
        <v>Male</v>
      </c>
      <c r="I88" s="37" t="str">
        <f>VLOOKUP($A88,'Day-13 Clean Dataset'!$A:$I,9,FALSE)</f>
        <v>user177@example.com</v>
      </c>
    </row>
    <row r="89" spans="1:9" ht="19.95" customHeight="1" x14ac:dyDescent="0.3">
      <c r="A89" s="37" t="s">
        <v>96</v>
      </c>
      <c r="B89" s="37" t="str">
        <f>VLOOKUP($A89,'Day-13 Clean Dataset'!$A:$I,2,FALSE)</f>
        <v>Sam Wilson</v>
      </c>
      <c r="C89" s="37" t="str">
        <f>VLOOKUP($A89,'Day-13 Clean Dataset'!$A:$I,3,FALSE)</f>
        <v>HR</v>
      </c>
      <c r="D89" s="37" t="str">
        <f>VLOOKUP($A89,'Day-13 Clean Dataset'!$A:$I,4,FALSE)</f>
        <v>Germany</v>
      </c>
      <c r="E89" s="37">
        <f>VLOOKUP($A89,'Day-13 Clean Dataset'!$A:$I,5,FALSE)</f>
        <v>55303</v>
      </c>
      <c r="F89" s="38">
        <f>VLOOKUP($A89,'Day-13 Clean Dataset'!$A:$I,6,FALSE)</f>
        <v>42617</v>
      </c>
      <c r="G89" s="37">
        <f>VLOOKUP($A89,'Day-13 Clean Dataset'!$A:$I,7,FALSE)</f>
        <v>4</v>
      </c>
      <c r="H89" s="37" t="str">
        <f>VLOOKUP($A89,'Day-13 Clean Dataset'!$A:$I,8,FALSE)</f>
        <v>Male</v>
      </c>
      <c r="I89" s="37" t="str">
        <f>VLOOKUP($A89,'Day-13 Clean Dataset'!$A:$I,9,FALSE)</f>
        <v>user149@example.com</v>
      </c>
    </row>
    <row r="90" spans="1:9" ht="19.95" customHeight="1" x14ac:dyDescent="0.3">
      <c r="A90" s="37" t="s">
        <v>97</v>
      </c>
      <c r="B90" s="37" t="str">
        <f>VLOOKUP($A90,'Day-13 Clean Dataset'!$A:$I,2,FALSE)</f>
        <v>Chris Lee</v>
      </c>
      <c r="C90" s="37" t="str">
        <f>VLOOKUP($A90,'Day-13 Clean Dataset'!$A:$I,3,FALSE)</f>
        <v>IT</v>
      </c>
      <c r="D90" s="37" t="str">
        <f>VLOOKUP($A90,'Day-13 Clean Dataset'!$A:$I,4,FALSE)</f>
        <v>Unknown</v>
      </c>
      <c r="E90" s="37">
        <f>VLOOKUP($A90,'Day-13 Clean Dataset'!$A:$I,5,FALSE)</f>
        <v>63434</v>
      </c>
      <c r="F90" s="38">
        <f>VLOOKUP($A90,'Day-13 Clean Dataset'!$A:$I,6,FALSE)</f>
        <v>42624</v>
      </c>
      <c r="G90" s="37">
        <f>VLOOKUP($A90,'Day-13 Clean Dataset'!$A:$I,7,FALSE)</f>
        <v>3</v>
      </c>
      <c r="H90" s="37" t="str">
        <f>VLOOKUP($A90,'Day-13 Clean Dataset'!$A:$I,8,FALSE)</f>
        <v>Unknown</v>
      </c>
      <c r="I90" s="37" t="str">
        <f>VLOOKUP($A90,'Day-13 Clean Dataset'!$A:$I,9,FALSE)</f>
        <v>user48@example.com</v>
      </c>
    </row>
    <row r="91" spans="1:9" ht="19.95" customHeight="1" x14ac:dyDescent="0.3">
      <c r="A91" s="37" t="s">
        <v>98</v>
      </c>
      <c r="B91" s="37" t="str">
        <f>VLOOKUP($A91,'Day-13 Clean Dataset'!$A:$I,2,FALSE)</f>
        <v>Jane Smith</v>
      </c>
      <c r="C91" s="37" t="str">
        <f>VLOOKUP($A91,'Day-13 Clean Dataset'!$A:$I,3,FALSE)</f>
        <v>Unknown</v>
      </c>
      <c r="D91" s="37" t="str">
        <f>VLOOKUP($A91,'Day-13 Clean Dataset'!$A:$I,4,FALSE)</f>
        <v>Australia</v>
      </c>
      <c r="E91" s="37">
        <f>VLOOKUP($A91,'Day-13 Clean Dataset'!$A:$I,5,FALSE)</f>
        <v>38830</v>
      </c>
      <c r="F91" s="38">
        <f>VLOOKUP($A91,'Day-13 Clean Dataset'!$A:$I,6,FALSE)</f>
        <v>42631</v>
      </c>
      <c r="G91" s="37">
        <f>VLOOKUP($A91,'Day-13 Clean Dataset'!$A:$I,7,FALSE)</f>
        <v>3</v>
      </c>
      <c r="H91" s="37" t="str">
        <f>VLOOKUP($A91,'Day-13 Clean Dataset'!$A:$I,8,FALSE)</f>
        <v>Other</v>
      </c>
      <c r="I91" s="37" t="str">
        <f>VLOOKUP($A91,'Day-13 Clean Dataset'!$A:$I,9,FALSE)</f>
        <v>user149@example.com</v>
      </c>
    </row>
    <row r="92" spans="1:9" ht="19.95" customHeight="1" x14ac:dyDescent="0.3">
      <c r="A92" s="37" t="s">
        <v>99</v>
      </c>
      <c r="B92" s="37" t="str">
        <f>VLOOKUP($A92,'Day-13 Clean Dataset'!$A:$I,2,FALSE)</f>
        <v>Unknown</v>
      </c>
      <c r="C92" s="37" t="str">
        <f>VLOOKUP($A92,'Day-13 Clean Dataset'!$A:$I,3,FALSE)</f>
        <v>Marketing</v>
      </c>
      <c r="D92" s="37" t="str">
        <f>VLOOKUP($A92,'Day-13 Clean Dataset'!$A:$I,4,FALSE)</f>
        <v>UK</v>
      </c>
      <c r="E92" s="37">
        <f>VLOOKUP($A92,'Day-13 Clean Dataset'!$A:$I,5,FALSE)</f>
        <v>50741</v>
      </c>
      <c r="F92" s="38">
        <f>VLOOKUP($A92,'Day-13 Clean Dataset'!$A:$I,6,FALSE)</f>
        <v>42638</v>
      </c>
      <c r="G92" s="37">
        <f>VLOOKUP($A92,'Day-13 Clean Dataset'!$A:$I,7,FALSE)</f>
        <v>3</v>
      </c>
      <c r="H92" s="37" t="str">
        <f>VLOOKUP($A92,'Day-13 Clean Dataset'!$A:$I,8,FALSE)</f>
        <v>Unknown</v>
      </c>
      <c r="I92" s="37" t="str">
        <f>VLOOKUP($A92,'Day-13 Clean Dataset'!$A:$I,9,FALSE)</f>
        <v>user65@example.com</v>
      </c>
    </row>
    <row r="93" spans="1:9" ht="19.95" customHeight="1" x14ac:dyDescent="0.3">
      <c r="A93" s="37" t="s">
        <v>100</v>
      </c>
      <c r="B93" s="37" t="str">
        <f>VLOOKUP($A93,'Day-13 Clean Dataset'!$A:$I,2,FALSE)</f>
        <v>Alice Brown</v>
      </c>
      <c r="C93" s="37" t="str">
        <f>VLOOKUP($A93,'Day-13 Clean Dataset'!$A:$I,3,FALSE)</f>
        <v>HR</v>
      </c>
      <c r="D93" s="37" t="str">
        <f>VLOOKUP($A93,'Day-13 Clean Dataset'!$A:$I,4,FALSE)</f>
        <v>Australia</v>
      </c>
      <c r="E93" s="37">
        <f>VLOOKUP($A93,'Day-13 Clean Dataset'!$A:$I,5,FALSE)</f>
        <v>69420</v>
      </c>
      <c r="F93" s="38">
        <f>VLOOKUP($A93,'Day-13 Clean Dataset'!$A:$I,6,FALSE)</f>
        <v>42645</v>
      </c>
      <c r="G93" s="37">
        <f>VLOOKUP($A93,'Day-13 Clean Dataset'!$A:$I,7,FALSE)</f>
        <v>1</v>
      </c>
      <c r="H93" s="37" t="str">
        <f>VLOOKUP($A93,'Day-13 Clean Dataset'!$A:$I,8,FALSE)</f>
        <v>Male</v>
      </c>
      <c r="I93" s="37" t="str">
        <f>VLOOKUP($A93,'Day-13 Clean Dataset'!$A:$I,9,FALSE)</f>
        <v>user43@example.com</v>
      </c>
    </row>
    <row r="94" spans="1:9" ht="19.95" customHeight="1" x14ac:dyDescent="0.3">
      <c r="A94" s="37" t="s">
        <v>101</v>
      </c>
      <c r="B94" s="37" t="str">
        <f>VLOOKUP($A94,'Day-13 Clean Dataset'!$A:$I,2,FALSE)</f>
        <v>Jane Smith</v>
      </c>
      <c r="C94" s="37" t="str">
        <f>VLOOKUP($A94,'Day-13 Clean Dataset'!$A:$I,3,FALSE)</f>
        <v>IT</v>
      </c>
      <c r="D94" s="37" t="str">
        <f>VLOOKUP($A94,'Day-13 Clean Dataset'!$A:$I,4,FALSE)</f>
        <v>Unknown</v>
      </c>
      <c r="E94" s="37">
        <f>VLOOKUP($A94,'Day-13 Clean Dataset'!$A:$I,5,FALSE)</f>
        <v>80588</v>
      </c>
      <c r="F94" s="38">
        <f>VLOOKUP($A94,'Day-13 Clean Dataset'!$A:$I,6,FALSE)</f>
        <v>42652</v>
      </c>
      <c r="G94" s="37">
        <f>VLOOKUP($A94,'Day-13 Clean Dataset'!$A:$I,7,FALSE)</f>
        <v>5</v>
      </c>
      <c r="H94" s="37" t="str">
        <f>VLOOKUP($A94,'Day-13 Clean Dataset'!$A:$I,8,FALSE)</f>
        <v>Male</v>
      </c>
      <c r="I94" s="37" t="str">
        <f>VLOOKUP($A94,'Day-13 Clean Dataset'!$A:$I,9,FALSE)</f>
        <v>user98@example.com</v>
      </c>
    </row>
    <row r="95" spans="1:9" ht="19.95" customHeight="1" x14ac:dyDescent="0.3">
      <c r="A95" s="37" t="s">
        <v>102</v>
      </c>
      <c r="B95" s="37" t="str">
        <f>VLOOKUP($A95,'Day-13 Clean Dataset'!$A:$I,2,FALSE)</f>
        <v>Alice Brown</v>
      </c>
      <c r="C95" s="37" t="str">
        <f>VLOOKUP($A95,'Day-13 Clean Dataset'!$A:$I,3,FALSE)</f>
        <v>Unknown</v>
      </c>
      <c r="D95" s="37" t="str">
        <f>VLOOKUP($A95,'Day-13 Clean Dataset'!$A:$I,4,FALSE)</f>
        <v>USA</v>
      </c>
      <c r="E95" s="37">
        <f>VLOOKUP($A95,'Day-13 Clean Dataset'!$A:$I,5,FALSE)</f>
        <v>76238</v>
      </c>
      <c r="F95" s="38">
        <f>VLOOKUP($A95,'Day-13 Clean Dataset'!$A:$I,6,FALSE)</f>
        <v>42659</v>
      </c>
      <c r="G95" s="37">
        <f>VLOOKUP($A95,'Day-13 Clean Dataset'!$A:$I,7,FALSE)</f>
        <v>4</v>
      </c>
      <c r="H95" s="37" t="str">
        <f>VLOOKUP($A95,'Day-13 Clean Dataset'!$A:$I,8,FALSE)</f>
        <v>Male</v>
      </c>
      <c r="I95" s="37" t="str">
        <f>VLOOKUP($A95,'Day-13 Clean Dataset'!$A:$I,9,FALSE)</f>
        <v>user102@example.com</v>
      </c>
    </row>
    <row r="96" spans="1:9" ht="19.95" customHeight="1" x14ac:dyDescent="0.3">
      <c r="A96" s="37" t="s">
        <v>103</v>
      </c>
      <c r="B96" s="37" t="str">
        <f>VLOOKUP($A96,'Day-13 Clean Dataset'!$A:$I,2,FALSE)</f>
        <v>Bob Johnson</v>
      </c>
      <c r="C96" s="37" t="str">
        <f>VLOOKUP($A96,'Day-13 Clean Dataset'!$A:$I,3,FALSE)</f>
        <v>IT</v>
      </c>
      <c r="D96" s="37" t="str">
        <f>VLOOKUP($A96,'Day-13 Clean Dataset'!$A:$I,4,FALSE)</f>
        <v>India</v>
      </c>
      <c r="E96" s="37">
        <f>VLOOKUP($A96,'Day-13 Clean Dataset'!$A:$I,5,FALSE)</f>
        <v>33264</v>
      </c>
      <c r="F96" s="38">
        <f>VLOOKUP($A96,'Day-13 Clean Dataset'!$A:$I,6,FALSE)</f>
        <v>42666</v>
      </c>
      <c r="G96" s="37" t="str">
        <f>VLOOKUP($A96,'Day-13 Clean Dataset'!$A:$I,7,FALSE)</f>
        <v>Unknown</v>
      </c>
      <c r="H96" s="37" t="str">
        <f>VLOOKUP($A96,'Day-13 Clean Dataset'!$A:$I,8,FALSE)</f>
        <v>Female</v>
      </c>
      <c r="I96" s="37" t="str">
        <f>VLOOKUP($A96,'Day-13 Clean Dataset'!$A:$I,9,FALSE)</f>
        <v>user148@example.com</v>
      </c>
    </row>
    <row r="97" spans="1:9" ht="19.95" customHeight="1" x14ac:dyDescent="0.3">
      <c r="A97" s="37" t="s">
        <v>104</v>
      </c>
      <c r="B97" s="37" t="str">
        <f>VLOOKUP($A97,'Day-13 Clean Dataset'!$A:$I,2,FALSE)</f>
        <v>Alice Brown</v>
      </c>
      <c r="C97" s="37" t="str">
        <f>VLOOKUP($A97,'Day-13 Clean Dataset'!$A:$I,3,FALSE)</f>
        <v>Finance</v>
      </c>
      <c r="D97" s="37" t="str">
        <f>VLOOKUP($A97,'Day-13 Clean Dataset'!$A:$I,4,FALSE)</f>
        <v>Australia</v>
      </c>
      <c r="E97" s="37">
        <f>VLOOKUP($A97,'Day-13 Clean Dataset'!$A:$I,5,FALSE)</f>
        <v>96101</v>
      </c>
      <c r="F97" s="38">
        <f>VLOOKUP($A97,'Day-13 Clean Dataset'!$A:$I,6,FALSE)</f>
        <v>42673</v>
      </c>
      <c r="G97" s="37" t="str">
        <f>VLOOKUP($A97,'Day-13 Clean Dataset'!$A:$I,7,FALSE)</f>
        <v>Unknown</v>
      </c>
      <c r="H97" s="37" t="str">
        <f>VLOOKUP($A97,'Day-13 Clean Dataset'!$A:$I,8,FALSE)</f>
        <v>Other</v>
      </c>
      <c r="I97" s="37" t="str">
        <f>VLOOKUP($A97,'Day-13 Clean Dataset'!$A:$I,9,FALSE)</f>
        <v>user155@example.com</v>
      </c>
    </row>
    <row r="98" spans="1:9" ht="19.95" customHeight="1" x14ac:dyDescent="0.3">
      <c r="A98" s="37" t="s">
        <v>105</v>
      </c>
      <c r="B98" s="37" t="str">
        <f>VLOOKUP($A98,'Day-13 Clean Dataset'!$A:$I,2,FALSE)</f>
        <v>Jane Smith</v>
      </c>
      <c r="C98" s="37" t="str">
        <f>VLOOKUP($A98,'Day-13 Clean Dataset'!$A:$I,3,FALSE)</f>
        <v>Finance</v>
      </c>
      <c r="D98" s="37" t="str">
        <f>VLOOKUP($A98,'Day-13 Clean Dataset'!$A:$I,4,FALSE)</f>
        <v>USA</v>
      </c>
      <c r="E98" s="37">
        <f>VLOOKUP($A98,'Day-13 Clean Dataset'!$A:$I,5,FALSE)</f>
        <v>72939</v>
      </c>
      <c r="F98" s="38">
        <f>VLOOKUP($A98,'Day-13 Clean Dataset'!$A:$I,6,FALSE)</f>
        <v>42680</v>
      </c>
      <c r="G98" s="37">
        <f>VLOOKUP($A98,'Day-13 Clean Dataset'!$A:$I,7,FALSE)</f>
        <v>3</v>
      </c>
      <c r="H98" s="37" t="str">
        <f>VLOOKUP($A98,'Day-13 Clean Dataset'!$A:$I,8,FALSE)</f>
        <v>Unknown</v>
      </c>
      <c r="I98" s="37" t="str">
        <f>VLOOKUP($A98,'Day-13 Clean Dataset'!$A:$I,9,FALSE)</f>
        <v>user191@example.com</v>
      </c>
    </row>
    <row r="99" spans="1:9" ht="19.95" customHeight="1" x14ac:dyDescent="0.3">
      <c r="A99" s="37" t="s">
        <v>106</v>
      </c>
      <c r="B99" s="37" t="str">
        <f>VLOOKUP($A99,'Day-13 Clean Dataset'!$A:$I,2,FALSE)</f>
        <v>Sam Wilson</v>
      </c>
      <c r="C99" s="37" t="str">
        <f>VLOOKUP($A99,'Day-13 Clean Dataset'!$A:$I,3,FALSE)</f>
        <v>HR</v>
      </c>
      <c r="D99" s="37" t="str">
        <f>VLOOKUP($A99,'Day-13 Clean Dataset'!$A:$I,4,FALSE)</f>
        <v>Germany</v>
      </c>
      <c r="E99" s="37">
        <f>VLOOKUP($A99,'Day-13 Clean Dataset'!$A:$I,5,FALSE)</f>
        <v>89333</v>
      </c>
      <c r="F99" s="38">
        <f>VLOOKUP($A99,'Day-13 Clean Dataset'!$A:$I,6,FALSE)</f>
        <v>42687</v>
      </c>
      <c r="G99" s="37">
        <f>VLOOKUP($A99,'Day-13 Clean Dataset'!$A:$I,7,FALSE)</f>
        <v>1</v>
      </c>
      <c r="H99" s="37" t="str">
        <f>VLOOKUP($A99,'Day-13 Clean Dataset'!$A:$I,8,FALSE)</f>
        <v>Male</v>
      </c>
      <c r="I99" s="37" t="str">
        <f>VLOOKUP($A99,'Day-13 Clean Dataset'!$A:$I,9,FALSE)</f>
        <v>user113@example.com</v>
      </c>
    </row>
    <row r="100" spans="1:9" ht="19.95" customHeight="1" x14ac:dyDescent="0.3">
      <c r="A100" s="37" t="s">
        <v>107</v>
      </c>
      <c r="B100" s="37" t="str">
        <f>VLOOKUP($A100,'Day-13 Clean Dataset'!$A:$I,2,FALSE)</f>
        <v>Bob Johnson</v>
      </c>
      <c r="C100" s="37" t="str">
        <f>VLOOKUP($A100,'Day-13 Clean Dataset'!$A:$I,3,FALSE)</f>
        <v>IT</v>
      </c>
      <c r="D100" s="37" t="str">
        <f>VLOOKUP($A100,'Day-13 Clean Dataset'!$A:$I,4,FALSE)</f>
        <v>Australia</v>
      </c>
      <c r="E100" s="37">
        <f>VLOOKUP($A100,'Day-13 Clean Dataset'!$A:$I,5,FALSE)</f>
        <v>70470</v>
      </c>
      <c r="F100" s="38">
        <f>VLOOKUP($A100,'Day-13 Clean Dataset'!$A:$I,6,FALSE)</f>
        <v>42694</v>
      </c>
      <c r="G100" s="37" t="str">
        <f>VLOOKUP($A100,'Day-13 Clean Dataset'!$A:$I,7,FALSE)</f>
        <v>Unknown</v>
      </c>
      <c r="H100" s="37" t="str">
        <f>VLOOKUP($A100,'Day-13 Clean Dataset'!$A:$I,8,FALSE)</f>
        <v>Male</v>
      </c>
      <c r="I100" s="37" t="str">
        <f>VLOOKUP($A100,'Day-13 Clean Dataset'!$A:$I,9,FALSE)</f>
        <v>user62@example.com</v>
      </c>
    </row>
    <row r="101" spans="1:9" ht="19.95" customHeight="1" x14ac:dyDescent="0.3">
      <c r="A101" s="37" t="s">
        <v>108</v>
      </c>
      <c r="B101" s="37" t="str">
        <f>VLOOKUP($A101,'Day-13 Clean Dataset'!$A:$I,2,FALSE)</f>
        <v>Eve Adams</v>
      </c>
      <c r="C101" s="37" t="str">
        <f>VLOOKUP($A101,'Day-13 Clean Dataset'!$A:$I,3,FALSE)</f>
        <v>Marketing</v>
      </c>
      <c r="D101" s="37" t="str">
        <f>VLOOKUP($A101,'Day-13 Clean Dataset'!$A:$I,4,FALSE)</f>
        <v>USA</v>
      </c>
      <c r="E101" s="37">
        <f>VLOOKUP($A101,'Day-13 Clean Dataset'!$A:$I,5,FALSE)</f>
        <v>70096</v>
      </c>
      <c r="F101" s="38">
        <f>VLOOKUP($A101,'Day-13 Clean Dataset'!$A:$I,6,FALSE)</f>
        <v>42701</v>
      </c>
      <c r="G101" s="37">
        <f>VLOOKUP($A101,'Day-13 Clean Dataset'!$A:$I,7,FALSE)</f>
        <v>4</v>
      </c>
      <c r="H101" s="37" t="str">
        <f>VLOOKUP($A101,'Day-13 Clean Dataset'!$A:$I,8,FALSE)</f>
        <v>Male</v>
      </c>
      <c r="I101" s="37" t="str">
        <f>VLOOKUP($A101,'Day-13 Clean Dataset'!$A:$I,9,FALSE)</f>
        <v>user76@example.com</v>
      </c>
    </row>
    <row r="102" spans="1:9" ht="19.95" customHeight="1" x14ac:dyDescent="0.3">
      <c r="A102" s="37" t="s">
        <v>109</v>
      </c>
      <c r="B102" s="37" t="str">
        <f>VLOOKUP($A102,'Day-13 Clean Dataset'!$A:$I,2,FALSE)</f>
        <v>Bob Johnson</v>
      </c>
      <c r="C102" s="37" t="str">
        <f>VLOOKUP($A102,'Day-13 Clean Dataset'!$A:$I,3,FALSE)</f>
        <v>Marketing</v>
      </c>
      <c r="D102" s="37" t="str">
        <f>VLOOKUP($A102,'Day-13 Clean Dataset'!$A:$I,4,FALSE)</f>
        <v>Unknown</v>
      </c>
      <c r="E102" s="37" t="str">
        <f>VLOOKUP($A102,'Day-13 Clean Dataset'!$A:$I,5,FALSE)</f>
        <v>Unknown</v>
      </c>
      <c r="F102" s="38">
        <f>VLOOKUP($A102,'Day-13 Clean Dataset'!$A:$I,6,FALSE)</f>
        <v>42708</v>
      </c>
      <c r="G102" s="37">
        <f>VLOOKUP($A102,'Day-13 Clean Dataset'!$A:$I,7,FALSE)</f>
        <v>2</v>
      </c>
      <c r="H102" s="37" t="str">
        <f>VLOOKUP($A102,'Day-13 Clean Dataset'!$A:$I,8,FALSE)</f>
        <v>Other</v>
      </c>
      <c r="I102" s="37" t="str">
        <f>VLOOKUP($A102,'Day-13 Clean Dataset'!$A:$I,9,FALSE)</f>
        <v>user40@example.com</v>
      </c>
    </row>
    <row r="103" spans="1:9" ht="19.95" customHeight="1" x14ac:dyDescent="0.3">
      <c r="A103" s="37" t="s">
        <v>110</v>
      </c>
      <c r="B103" s="37" t="str">
        <f>VLOOKUP($A103,'Day-13 Clean Dataset'!$A:$I,2,FALSE)</f>
        <v>Bob Johnson</v>
      </c>
      <c r="C103" s="37" t="str">
        <f>VLOOKUP($A103,'Day-13 Clean Dataset'!$A:$I,3,FALSE)</f>
        <v>IT</v>
      </c>
      <c r="D103" s="37" t="str">
        <f>VLOOKUP($A103,'Day-13 Clean Dataset'!$A:$I,4,FALSE)</f>
        <v>Germany</v>
      </c>
      <c r="E103" s="37">
        <f>VLOOKUP($A103,'Day-13 Clean Dataset'!$A:$I,5,FALSE)</f>
        <v>66503</v>
      </c>
      <c r="F103" s="38">
        <f>VLOOKUP($A103,'Day-13 Clean Dataset'!$A:$I,6,FALSE)</f>
        <v>42715</v>
      </c>
      <c r="G103" s="37" t="str">
        <f>VLOOKUP($A103,'Day-13 Clean Dataset'!$A:$I,7,FALSE)</f>
        <v>Unknown</v>
      </c>
      <c r="H103" s="37" t="str">
        <f>VLOOKUP($A103,'Day-13 Clean Dataset'!$A:$I,8,FALSE)</f>
        <v>Male</v>
      </c>
      <c r="I103" s="37" t="str">
        <f>VLOOKUP($A103,'Day-13 Clean Dataset'!$A:$I,9,FALSE)</f>
        <v>user200@example.com</v>
      </c>
    </row>
    <row r="104" spans="1:9" ht="19.95" customHeight="1" x14ac:dyDescent="0.3">
      <c r="A104" s="37" t="s">
        <v>111</v>
      </c>
      <c r="B104" s="37" t="str">
        <f>VLOOKUP($A104,'Day-13 Clean Dataset'!$A:$I,2,FALSE)</f>
        <v>Alice Brown</v>
      </c>
      <c r="C104" s="37" t="str">
        <f>VLOOKUP($A104,'Day-13 Clean Dataset'!$A:$I,3,FALSE)</f>
        <v>HR</v>
      </c>
      <c r="D104" s="37" t="str">
        <f>VLOOKUP($A104,'Day-13 Clean Dataset'!$A:$I,4,FALSE)</f>
        <v>Germany</v>
      </c>
      <c r="E104" s="37">
        <f>VLOOKUP($A104,'Day-13 Clean Dataset'!$A:$I,5,FALSE)</f>
        <v>42096</v>
      </c>
      <c r="F104" s="38">
        <f>VLOOKUP($A104,'Day-13 Clean Dataset'!$A:$I,6,FALSE)</f>
        <v>42722</v>
      </c>
      <c r="G104" s="37" t="str">
        <f>VLOOKUP($A104,'Day-13 Clean Dataset'!$A:$I,7,FALSE)</f>
        <v>Unknown</v>
      </c>
      <c r="H104" s="37" t="str">
        <f>VLOOKUP($A104,'Day-13 Clean Dataset'!$A:$I,8,FALSE)</f>
        <v>Female</v>
      </c>
      <c r="I104" s="37" t="str">
        <f>VLOOKUP($A104,'Day-13 Clean Dataset'!$A:$I,9,FALSE)</f>
        <v>user54@example.com</v>
      </c>
    </row>
    <row r="105" spans="1:9" ht="19.95" customHeight="1" x14ac:dyDescent="0.3">
      <c r="A105" s="37" t="s">
        <v>112</v>
      </c>
      <c r="B105" s="37" t="str">
        <f>VLOOKUP($A105,'Day-13 Clean Dataset'!$A:$I,2,FALSE)</f>
        <v>Alice Brown</v>
      </c>
      <c r="C105" s="37" t="str">
        <f>VLOOKUP($A105,'Day-13 Clean Dataset'!$A:$I,3,FALSE)</f>
        <v>Marketing</v>
      </c>
      <c r="D105" s="37" t="str">
        <f>VLOOKUP($A105,'Day-13 Clean Dataset'!$A:$I,4,FALSE)</f>
        <v>Unknown</v>
      </c>
      <c r="E105" s="37">
        <f>VLOOKUP($A105,'Day-13 Clean Dataset'!$A:$I,5,FALSE)</f>
        <v>79145</v>
      </c>
      <c r="F105" s="38">
        <f>VLOOKUP($A105,'Day-13 Clean Dataset'!$A:$I,6,FALSE)</f>
        <v>42729</v>
      </c>
      <c r="G105" s="37">
        <f>VLOOKUP($A105,'Day-13 Clean Dataset'!$A:$I,7,FALSE)</f>
        <v>5</v>
      </c>
      <c r="H105" s="37" t="str">
        <f>VLOOKUP($A105,'Day-13 Clean Dataset'!$A:$I,8,FALSE)</f>
        <v>Other</v>
      </c>
      <c r="I105" s="37" t="str">
        <f>VLOOKUP($A105,'Day-13 Clean Dataset'!$A:$I,9,FALSE)</f>
        <v>user20@example.com</v>
      </c>
    </row>
    <row r="106" spans="1:9" ht="19.95" customHeight="1" x14ac:dyDescent="0.3">
      <c r="A106" s="37" t="s">
        <v>113</v>
      </c>
      <c r="B106" s="37" t="str">
        <f>VLOOKUP($A106,'Day-13 Clean Dataset'!$A:$I,2,FALSE)</f>
        <v>Jane Smith</v>
      </c>
      <c r="C106" s="37" t="str">
        <f>VLOOKUP($A106,'Day-13 Clean Dataset'!$A:$I,3,FALSE)</f>
        <v>Unknown</v>
      </c>
      <c r="D106" s="37" t="str">
        <f>VLOOKUP($A106,'Day-13 Clean Dataset'!$A:$I,4,FALSE)</f>
        <v>Australia</v>
      </c>
      <c r="E106" s="37">
        <f>VLOOKUP($A106,'Day-13 Clean Dataset'!$A:$I,5,FALSE)</f>
        <v>61556</v>
      </c>
      <c r="F106" s="38">
        <f>VLOOKUP($A106,'Day-13 Clean Dataset'!$A:$I,6,FALSE)</f>
        <v>42736</v>
      </c>
      <c r="G106" s="37">
        <f>VLOOKUP($A106,'Day-13 Clean Dataset'!$A:$I,7,FALSE)</f>
        <v>1</v>
      </c>
      <c r="H106" s="37" t="str">
        <f>VLOOKUP($A106,'Day-13 Clean Dataset'!$A:$I,8,FALSE)</f>
        <v>Unknown</v>
      </c>
      <c r="I106" s="37" t="str">
        <f>VLOOKUP($A106,'Day-13 Clean Dataset'!$A:$I,9,FALSE)</f>
        <v>user40@example.com</v>
      </c>
    </row>
    <row r="107" spans="1:9" ht="19.95" customHeight="1" x14ac:dyDescent="0.3">
      <c r="A107" s="37" t="s">
        <v>114</v>
      </c>
      <c r="B107" s="37" t="str">
        <f>VLOOKUP($A107,'Day-13 Clean Dataset'!$A:$I,2,FALSE)</f>
        <v>Unknown</v>
      </c>
      <c r="C107" s="37" t="str">
        <f>VLOOKUP($A107,'Day-13 Clean Dataset'!$A:$I,3,FALSE)</f>
        <v>HR</v>
      </c>
      <c r="D107" s="37" t="str">
        <f>VLOOKUP($A107,'Day-13 Clean Dataset'!$A:$I,4,FALSE)</f>
        <v>UK</v>
      </c>
      <c r="E107" s="37">
        <f>VLOOKUP($A107,'Day-13 Clean Dataset'!$A:$I,5,FALSE)</f>
        <v>87963</v>
      </c>
      <c r="F107" s="38">
        <f>VLOOKUP($A107,'Day-13 Clean Dataset'!$A:$I,6,FALSE)</f>
        <v>42743</v>
      </c>
      <c r="G107" s="37">
        <f>VLOOKUP($A107,'Day-13 Clean Dataset'!$A:$I,7,FALSE)</f>
        <v>3</v>
      </c>
      <c r="H107" s="37" t="str">
        <f>VLOOKUP($A107,'Day-13 Clean Dataset'!$A:$I,8,FALSE)</f>
        <v>Other</v>
      </c>
      <c r="I107" s="37" t="str">
        <f>VLOOKUP($A107,'Day-13 Clean Dataset'!$A:$I,9,FALSE)</f>
        <v>Unknown</v>
      </c>
    </row>
    <row r="108" spans="1:9" ht="19.95" customHeight="1" x14ac:dyDescent="0.3">
      <c r="A108" s="37" t="s">
        <v>115</v>
      </c>
      <c r="B108" s="37" t="str">
        <f>VLOOKUP($A108,'Day-13 Clean Dataset'!$A:$I,2,FALSE)</f>
        <v>Eve Adams</v>
      </c>
      <c r="C108" s="37" t="str">
        <f>VLOOKUP($A108,'Day-13 Clean Dataset'!$A:$I,3,FALSE)</f>
        <v>IT</v>
      </c>
      <c r="D108" s="37" t="str">
        <f>VLOOKUP($A108,'Day-13 Clean Dataset'!$A:$I,4,FALSE)</f>
        <v>Unknown</v>
      </c>
      <c r="E108" s="37">
        <f>VLOOKUP($A108,'Day-13 Clean Dataset'!$A:$I,5,FALSE)</f>
        <v>48325</v>
      </c>
      <c r="F108" s="38">
        <f>VLOOKUP($A108,'Day-13 Clean Dataset'!$A:$I,6,FALSE)</f>
        <v>42750</v>
      </c>
      <c r="G108" s="37" t="str">
        <f>VLOOKUP($A108,'Day-13 Clean Dataset'!$A:$I,7,FALSE)</f>
        <v>Unknown</v>
      </c>
      <c r="H108" s="37" t="str">
        <f>VLOOKUP($A108,'Day-13 Clean Dataset'!$A:$I,8,FALSE)</f>
        <v>Male</v>
      </c>
      <c r="I108" s="37" t="str">
        <f>VLOOKUP($A108,'Day-13 Clean Dataset'!$A:$I,9,FALSE)</f>
        <v>user189@example.com</v>
      </c>
    </row>
    <row r="109" spans="1:9" ht="19.95" customHeight="1" x14ac:dyDescent="0.3">
      <c r="A109" s="37" t="s">
        <v>116</v>
      </c>
      <c r="B109" s="37" t="str">
        <f>VLOOKUP($A109,'Day-13 Clean Dataset'!$A:$I,2,FALSE)</f>
        <v>Sam Wilson</v>
      </c>
      <c r="C109" s="37" t="str">
        <f>VLOOKUP($A109,'Day-13 Clean Dataset'!$A:$I,3,FALSE)</f>
        <v>Marketing</v>
      </c>
      <c r="D109" s="37" t="str">
        <f>VLOOKUP($A109,'Day-13 Clean Dataset'!$A:$I,4,FALSE)</f>
        <v>Australia</v>
      </c>
      <c r="E109" s="37">
        <f>VLOOKUP($A109,'Day-13 Clean Dataset'!$A:$I,5,FALSE)</f>
        <v>86412</v>
      </c>
      <c r="F109" s="38">
        <f>VLOOKUP($A109,'Day-13 Clean Dataset'!$A:$I,6,FALSE)</f>
        <v>42757</v>
      </c>
      <c r="G109" s="37">
        <f>VLOOKUP($A109,'Day-13 Clean Dataset'!$A:$I,7,FALSE)</f>
        <v>2</v>
      </c>
      <c r="H109" s="37" t="str">
        <f>VLOOKUP($A109,'Day-13 Clean Dataset'!$A:$I,8,FALSE)</f>
        <v>Female</v>
      </c>
      <c r="I109" s="37" t="str">
        <f>VLOOKUP($A109,'Day-13 Clean Dataset'!$A:$I,9,FALSE)</f>
        <v>user128@example.com</v>
      </c>
    </row>
    <row r="110" spans="1:9" ht="19.95" customHeight="1" x14ac:dyDescent="0.3">
      <c r="A110" s="37" t="s">
        <v>117</v>
      </c>
      <c r="B110" s="37" t="str">
        <f>VLOOKUP($A110,'Day-13 Clean Dataset'!$A:$I,2,FALSE)</f>
        <v>Sam Wilson</v>
      </c>
      <c r="C110" s="37" t="str">
        <f>VLOOKUP($A110,'Day-13 Clean Dataset'!$A:$I,3,FALSE)</f>
        <v>HR</v>
      </c>
      <c r="D110" s="37" t="str">
        <f>VLOOKUP($A110,'Day-13 Clean Dataset'!$A:$I,4,FALSE)</f>
        <v>Unknown</v>
      </c>
      <c r="E110" s="37">
        <f>VLOOKUP($A110,'Day-13 Clean Dataset'!$A:$I,5,FALSE)</f>
        <v>66761</v>
      </c>
      <c r="F110" s="38">
        <f>VLOOKUP($A110,'Day-13 Clean Dataset'!$A:$I,6,FALSE)</f>
        <v>42764</v>
      </c>
      <c r="G110" s="37">
        <f>VLOOKUP($A110,'Day-13 Clean Dataset'!$A:$I,7,FALSE)</f>
        <v>1</v>
      </c>
      <c r="H110" s="37" t="str">
        <f>VLOOKUP($A110,'Day-13 Clean Dataset'!$A:$I,8,FALSE)</f>
        <v>Unknown</v>
      </c>
      <c r="I110" s="37" t="str">
        <f>VLOOKUP($A110,'Day-13 Clean Dataset'!$A:$I,9,FALSE)</f>
        <v>user93@example.com</v>
      </c>
    </row>
    <row r="111" spans="1:9" ht="19.95" customHeight="1" x14ac:dyDescent="0.3">
      <c r="A111" s="37" t="s">
        <v>118</v>
      </c>
      <c r="B111" s="37" t="str">
        <f>VLOOKUP($A111,'Day-13 Clean Dataset'!$A:$I,2,FALSE)</f>
        <v>Jane Smith</v>
      </c>
      <c r="C111" s="37" t="str">
        <f>VLOOKUP($A111,'Day-13 Clean Dataset'!$A:$I,3,FALSE)</f>
        <v>Unknown</v>
      </c>
      <c r="D111" s="37" t="str">
        <f>VLOOKUP($A111,'Day-13 Clean Dataset'!$A:$I,4,FALSE)</f>
        <v>India</v>
      </c>
      <c r="E111" s="37">
        <f>VLOOKUP($A111,'Day-13 Clean Dataset'!$A:$I,5,FALSE)</f>
        <v>88850</v>
      </c>
      <c r="F111" s="38">
        <f>VLOOKUP($A111,'Day-13 Clean Dataset'!$A:$I,6,FALSE)</f>
        <v>42771</v>
      </c>
      <c r="G111" s="37">
        <f>VLOOKUP($A111,'Day-13 Clean Dataset'!$A:$I,7,FALSE)</f>
        <v>1</v>
      </c>
      <c r="H111" s="37" t="str">
        <f>VLOOKUP($A111,'Day-13 Clean Dataset'!$A:$I,8,FALSE)</f>
        <v>Female</v>
      </c>
      <c r="I111" s="37" t="str">
        <f>VLOOKUP($A111,'Day-13 Clean Dataset'!$A:$I,9,FALSE)</f>
        <v>user174@example.com</v>
      </c>
    </row>
    <row r="112" spans="1:9" ht="19.95" customHeight="1" x14ac:dyDescent="0.3">
      <c r="A112" s="37" t="s">
        <v>119</v>
      </c>
      <c r="B112" s="37" t="str">
        <f>VLOOKUP($A112,'Day-13 Clean Dataset'!$A:$I,2,FALSE)</f>
        <v>Chris Lee</v>
      </c>
      <c r="C112" s="37" t="str">
        <f>VLOOKUP($A112,'Day-13 Clean Dataset'!$A:$I,3,FALSE)</f>
        <v>Sales</v>
      </c>
      <c r="D112" s="37" t="str">
        <f>VLOOKUP($A112,'Day-13 Clean Dataset'!$A:$I,4,FALSE)</f>
        <v>India</v>
      </c>
      <c r="E112" s="37">
        <f>VLOOKUP($A112,'Day-13 Clean Dataset'!$A:$I,5,FALSE)</f>
        <v>31293</v>
      </c>
      <c r="F112" s="38" t="str">
        <f>VLOOKUP($A112,'Day-13 Clean Dataset'!$A:$I,6,FALSE)</f>
        <v>Unknown</v>
      </c>
      <c r="G112" s="37">
        <f>VLOOKUP($A112,'Day-13 Clean Dataset'!$A:$I,7,FALSE)</f>
        <v>2</v>
      </c>
      <c r="H112" s="37" t="str">
        <f>VLOOKUP($A112,'Day-13 Clean Dataset'!$A:$I,8,FALSE)</f>
        <v>Female</v>
      </c>
      <c r="I112" s="37" t="str">
        <f>VLOOKUP($A112,'Day-13 Clean Dataset'!$A:$I,9,FALSE)</f>
        <v>user44@example.com</v>
      </c>
    </row>
    <row r="113" spans="1:9" ht="19.95" customHeight="1" x14ac:dyDescent="0.3">
      <c r="A113" s="37" t="s">
        <v>120</v>
      </c>
      <c r="B113" s="37" t="str">
        <f>VLOOKUP($A113,'Day-13 Clean Dataset'!$A:$I,2,FALSE)</f>
        <v>Chris Lee</v>
      </c>
      <c r="C113" s="37" t="str">
        <f>VLOOKUP($A113,'Day-13 Clean Dataset'!$A:$I,3,FALSE)</f>
        <v>IT</v>
      </c>
      <c r="D113" s="37" t="str">
        <f>VLOOKUP($A113,'Day-13 Clean Dataset'!$A:$I,4,FALSE)</f>
        <v>USA</v>
      </c>
      <c r="E113" s="37">
        <f>VLOOKUP($A113,'Day-13 Clean Dataset'!$A:$I,5,FALSE)</f>
        <v>34306</v>
      </c>
      <c r="F113" s="38">
        <f>VLOOKUP($A113,'Day-13 Clean Dataset'!$A:$I,6,FALSE)</f>
        <v>42785</v>
      </c>
      <c r="G113" s="37">
        <f>VLOOKUP($A113,'Day-13 Clean Dataset'!$A:$I,7,FALSE)</f>
        <v>5</v>
      </c>
      <c r="H113" s="37" t="str">
        <f>VLOOKUP($A113,'Day-13 Clean Dataset'!$A:$I,8,FALSE)</f>
        <v>Female</v>
      </c>
      <c r="I113" s="37" t="str">
        <f>VLOOKUP($A113,'Day-13 Clean Dataset'!$A:$I,9,FALSE)</f>
        <v>user192@example.com</v>
      </c>
    </row>
    <row r="114" spans="1:9" ht="19.95" customHeight="1" x14ac:dyDescent="0.3">
      <c r="A114" s="37" t="s">
        <v>121</v>
      </c>
      <c r="B114" s="37" t="str">
        <f>VLOOKUP($A114,'Day-13 Clean Dataset'!$A:$I,2,FALSE)</f>
        <v>Eve Adams</v>
      </c>
      <c r="C114" s="37" t="str">
        <f>VLOOKUP($A114,'Day-13 Clean Dataset'!$A:$I,3,FALSE)</f>
        <v>Finance</v>
      </c>
      <c r="D114" s="37" t="str">
        <f>VLOOKUP($A114,'Day-13 Clean Dataset'!$A:$I,4,FALSE)</f>
        <v>India</v>
      </c>
      <c r="E114" s="37">
        <f>VLOOKUP($A114,'Day-13 Clean Dataset'!$A:$I,5,FALSE)</f>
        <v>78330</v>
      </c>
      <c r="F114" s="38">
        <f>VLOOKUP($A114,'Day-13 Clean Dataset'!$A:$I,6,FALSE)</f>
        <v>42792</v>
      </c>
      <c r="G114" s="37" t="str">
        <f>VLOOKUP($A114,'Day-13 Clean Dataset'!$A:$I,7,FALSE)</f>
        <v>Unknown</v>
      </c>
      <c r="H114" s="37" t="str">
        <f>VLOOKUP($A114,'Day-13 Clean Dataset'!$A:$I,8,FALSE)</f>
        <v>Other</v>
      </c>
      <c r="I114" s="37" t="str">
        <f>VLOOKUP($A114,'Day-13 Clean Dataset'!$A:$I,9,FALSE)</f>
        <v>user76@example.com</v>
      </c>
    </row>
    <row r="115" spans="1:9" ht="19.95" customHeight="1" x14ac:dyDescent="0.3">
      <c r="A115" s="37" t="s">
        <v>122</v>
      </c>
      <c r="B115" s="37" t="str">
        <f>VLOOKUP($A115,'Day-13 Clean Dataset'!$A:$I,2,FALSE)</f>
        <v>Alice Brown</v>
      </c>
      <c r="C115" s="37" t="str">
        <f>VLOOKUP($A115,'Day-13 Clean Dataset'!$A:$I,3,FALSE)</f>
        <v>IT</v>
      </c>
      <c r="D115" s="37" t="str">
        <f>VLOOKUP($A115,'Day-13 Clean Dataset'!$A:$I,4,FALSE)</f>
        <v>USA</v>
      </c>
      <c r="E115" s="37">
        <f>VLOOKUP($A115,'Day-13 Clean Dataset'!$A:$I,5,FALSE)</f>
        <v>47653</v>
      </c>
      <c r="F115" s="38">
        <f>VLOOKUP($A115,'Day-13 Clean Dataset'!$A:$I,6,FALSE)</f>
        <v>42799</v>
      </c>
      <c r="G115" s="37">
        <f>VLOOKUP($A115,'Day-13 Clean Dataset'!$A:$I,7,FALSE)</f>
        <v>1</v>
      </c>
      <c r="H115" s="37" t="str">
        <f>VLOOKUP($A115,'Day-13 Clean Dataset'!$A:$I,8,FALSE)</f>
        <v>Male</v>
      </c>
      <c r="I115" s="37" t="str">
        <f>VLOOKUP($A115,'Day-13 Clean Dataset'!$A:$I,9,FALSE)</f>
        <v>user82@example.com</v>
      </c>
    </row>
    <row r="116" spans="1:9" ht="19.95" customHeight="1" x14ac:dyDescent="0.3">
      <c r="A116" s="37" t="s">
        <v>123</v>
      </c>
      <c r="B116" s="37" t="str">
        <f>VLOOKUP($A116,'Day-13 Clean Dataset'!$A:$I,2,FALSE)</f>
        <v>Eve Adams</v>
      </c>
      <c r="C116" s="37" t="str">
        <f>VLOOKUP($A116,'Day-13 Clean Dataset'!$A:$I,3,FALSE)</f>
        <v>Marketing</v>
      </c>
      <c r="D116" s="37" t="str">
        <f>VLOOKUP($A116,'Day-13 Clean Dataset'!$A:$I,4,FALSE)</f>
        <v>UK</v>
      </c>
      <c r="E116" s="37">
        <f>VLOOKUP($A116,'Day-13 Clean Dataset'!$A:$I,5,FALSE)</f>
        <v>44627</v>
      </c>
      <c r="F116" s="38">
        <f>VLOOKUP($A116,'Day-13 Clean Dataset'!$A:$I,6,FALSE)</f>
        <v>42806</v>
      </c>
      <c r="G116" s="37">
        <f>VLOOKUP($A116,'Day-13 Clean Dataset'!$A:$I,7,FALSE)</f>
        <v>4</v>
      </c>
      <c r="H116" s="37" t="str">
        <f>VLOOKUP($A116,'Day-13 Clean Dataset'!$A:$I,8,FALSE)</f>
        <v>Unknown</v>
      </c>
      <c r="I116" s="37" t="str">
        <f>VLOOKUP($A116,'Day-13 Clean Dataset'!$A:$I,9,FALSE)</f>
        <v>user97@example.com</v>
      </c>
    </row>
    <row r="117" spans="1:9" ht="19.95" customHeight="1" x14ac:dyDescent="0.3">
      <c r="A117" s="37" t="s">
        <v>124</v>
      </c>
      <c r="B117" s="37" t="str">
        <f>VLOOKUP($A117,'Day-13 Clean Dataset'!$A:$I,2,FALSE)</f>
        <v>Bob Johnson</v>
      </c>
      <c r="C117" s="37" t="str">
        <f>VLOOKUP($A117,'Day-13 Clean Dataset'!$A:$I,3,FALSE)</f>
        <v>HR</v>
      </c>
      <c r="D117" s="37" t="str">
        <f>VLOOKUP($A117,'Day-13 Clean Dataset'!$A:$I,4,FALSE)</f>
        <v>Germany</v>
      </c>
      <c r="E117" s="37">
        <f>VLOOKUP($A117,'Day-13 Clean Dataset'!$A:$I,5,FALSE)</f>
        <v>92343</v>
      </c>
      <c r="F117" s="38">
        <f>VLOOKUP($A117,'Day-13 Clean Dataset'!$A:$I,6,FALSE)</f>
        <v>42813</v>
      </c>
      <c r="G117" s="37">
        <f>VLOOKUP($A117,'Day-13 Clean Dataset'!$A:$I,7,FALSE)</f>
        <v>4</v>
      </c>
      <c r="H117" s="37" t="str">
        <f>VLOOKUP($A117,'Day-13 Clean Dataset'!$A:$I,8,FALSE)</f>
        <v>Female</v>
      </c>
      <c r="I117" s="37" t="str">
        <f>VLOOKUP($A117,'Day-13 Clean Dataset'!$A:$I,9,FALSE)</f>
        <v>user149@example.com</v>
      </c>
    </row>
    <row r="118" spans="1:9" ht="19.95" customHeight="1" x14ac:dyDescent="0.3">
      <c r="A118" s="37" t="s">
        <v>125</v>
      </c>
      <c r="B118" s="37" t="str">
        <f>VLOOKUP($A118,'Day-13 Clean Dataset'!$A:$I,2,FALSE)</f>
        <v>Bob Johnson</v>
      </c>
      <c r="C118" s="37" t="str">
        <f>VLOOKUP($A118,'Day-13 Clean Dataset'!$A:$I,3,FALSE)</f>
        <v>Marketing</v>
      </c>
      <c r="D118" s="37" t="str">
        <f>VLOOKUP($A118,'Day-13 Clean Dataset'!$A:$I,4,FALSE)</f>
        <v>Australia</v>
      </c>
      <c r="E118" s="37">
        <f>VLOOKUP($A118,'Day-13 Clean Dataset'!$A:$I,5,FALSE)</f>
        <v>38837</v>
      </c>
      <c r="F118" s="38">
        <f>VLOOKUP($A118,'Day-13 Clean Dataset'!$A:$I,6,FALSE)</f>
        <v>42820</v>
      </c>
      <c r="G118" s="37">
        <f>VLOOKUP($A118,'Day-13 Clean Dataset'!$A:$I,7,FALSE)</f>
        <v>5</v>
      </c>
      <c r="H118" s="37" t="str">
        <f>VLOOKUP($A118,'Day-13 Clean Dataset'!$A:$I,8,FALSE)</f>
        <v>Female</v>
      </c>
      <c r="I118" s="37" t="str">
        <f>VLOOKUP($A118,'Day-13 Clean Dataset'!$A:$I,9,FALSE)</f>
        <v>user192@example.com</v>
      </c>
    </row>
    <row r="119" spans="1:9" ht="19.95" customHeight="1" x14ac:dyDescent="0.3">
      <c r="A119" s="37" t="s">
        <v>126</v>
      </c>
      <c r="B119" s="37" t="str">
        <f>VLOOKUP($A119,'Day-13 Clean Dataset'!$A:$I,2,FALSE)</f>
        <v>Bob Johnson</v>
      </c>
      <c r="C119" s="37" t="str">
        <f>VLOOKUP($A119,'Day-13 Clean Dataset'!$A:$I,3,FALSE)</f>
        <v>Marketing</v>
      </c>
      <c r="D119" s="37" t="str">
        <f>VLOOKUP($A119,'Day-13 Clean Dataset'!$A:$I,4,FALSE)</f>
        <v>Unknown</v>
      </c>
      <c r="E119" s="37">
        <f>VLOOKUP($A119,'Day-13 Clean Dataset'!$A:$I,5,FALSE)</f>
        <v>73483</v>
      </c>
      <c r="F119" s="38">
        <f>VLOOKUP($A119,'Day-13 Clean Dataset'!$A:$I,6,FALSE)</f>
        <v>42827</v>
      </c>
      <c r="G119" s="37">
        <f>VLOOKUP($A119,'Day-13 Clean Dataset'!$A:$I,7,FALSE)</f>
        <v>1</v>
      </c>
      <c r="H119" s="37" t="str">
        <f>VLOOKUP($A119,'Day-13 Clean Dataset'!$A:$I,8,FALSE)</f>
        <v>Unknown</v>
      </c>
      <c r="I119" s="37" t="str">
        <f>VLOOKUP($A119,'Day-13 Clean Dataset'!$A:$I,9,FALSE)</f>
        <v>user137@example.com</v>
      </c>
    </row>
    <row r="120" spans="1:9" ht="19.95" customHeight="1" x14ac:dyDescent="0.3">
      <c r="A120" s="37" t="s">
        <v>127</v>
      </c>
      <c r="B120" s="37" t="str">
        <f>VLOOKUP($A120,'Day-13 Clean Dataset'!$A:$I,2,FALSE)</f>
        <v>Chris Lee</v>
      </c>
      <c r="C120" s="37" t="str">
        <f>VLOOKUP($A120,'Day-13 Clean Dataset'!$A:$I,3,FALSE)</f>
        <v>Sales</v>
      </c>
      <c r="D120" s="37" t="str">
        <f>VLOOKUP($A120,'Day-13 Clean Dataset'!$A:$I,4,FALSE)</f>
        <v>India</v>
      </c>
      <c r="E120" s="37">
        <f>VLOOKUP($A120,'Day-13 Clean Dataset'!$A:$I,5,FALSE)</f>
        <v>95032</v>
      </c>
      <c r="F120" s="38">
        <f>VLOOKUP($A120,'Day-13 Clean Dataset'!$A:$I,6,FALSE)</f>
        <v>42834</v>
      </c>
      <c r="G120" s="37">
        <f>VLOOKUP($A120,'Day-13 Clean Dataset'!$A:$I,7,FALSE)</f>
        <v>3</v>
      </c>
      <c r="H120" s="37" t="str">
        <f>VLOOKUP($A120,'Day-13 Clean Dataset'!$A:$I,8,FALSE)</f>
        <v>Unknown</v>
      </c>
      <c r="I120" s="37" t="str">
        <f>VLOOKUP($A120,'Day-13 Clean Dataset'!$A:$I,9,FALSE)</f>
        <v>user23@example.com</v>
      </c>
    </row>
    <row r="121" spans="1:9" ht="19.95" customHeight="1" x14ac:dyDescent="0.3">
      <c r="A121" s="37" t="s">
        <v>128</v>
      </c>
      <c r="B121" s="37" t="str">
        <f>VLOOKUP($A121,'Day-13 Clean Dataset'!$A:$I,2,FALSE)</f>
        <v>Eve Adams</v>
      </c>
      <c r="C121" s="37" t="str">
        <f>VLOOKUP($A121,'Day-13 Clean Dataset'!$A:$I,3,FALSE)</f>
        <v>Sales</v>
      </c>
      <c r="D121" s="37" t="str">
        <f>VLOOKUP($A121,'Day-13 Clean Dataset'!$A:$I,4,FALSE)</f>
        <v>Australia</v>
      </c>
      <c r="E121" s="37">
        <f>VLOOKUP($A121,'Day-13 Clean Dataset'!$A:$I,5,FALSE)</f>
        <v>44358</v>
      </c>
      <c r="F121" s="38">
        <f>VLOOKUP($A121,'Day-13 Clean Dataset'!$A:$I,6,FALSE)</f>
        <v>42841</v>
      </c>
      <c r="G121" s="37" t="str">
        <f>VLOOKUP($A121,'Day-13 Clean Dataset'!$A:$I,7,FALSE)</f>
        <v>Unknown</v>
      </c>
      <c r="H121" s="37" t="str">
        <f>VLOOKUP($A121,'Day-13 Clean Dataset'!$A:$I,8,FALSE)</f>
        <v>Female</v>
      </c>
      <c r="I121" s="37" t="str">
        <f>VLOOKUP($A121,'Day-13 Clean Dataset'!$A:$I,9,FALSE)</f>
        <v>user200@example.com</v>
      </c>
    </row>
    <row r="122" spans="1:9" ht="19.95" customHeight="1" x14ac:dyDescent="0.3">
      <c r="A122" s="37" t="s">
        <v>129</v>
      </c>
      <c r="B122" s="37" t="str">
        <f>VLOOKUP($A122,'Day-13 Clean Dataset'!$A:$I,2,FALSE)</f>
        <v>Unknown</v>
      </c>
      <c r="C122" s="37" t="str">
        <f>VLOOKUP($A122,'Day-13 Clean Dataset'!$A:$I,3,FALSE)</f>
        <v>IT</v>
      </c>
      <c r="D122" s="37" t="str">
        <f>VLOOKUP($A122,'Day-13 Clean Dataset'!$A:$I,4,FALSE)</f>
        <v>USA</v>
      </c>
      <c r="E122" s="37" t="str">
        <f>VLOOKUP($A122,'Day-13 Clean Dataset'!$A:$I,5,FALSE)</f>
        <v>Unknown</v>
      </c>
      <c r="F122" s="38" t="str">
        <f>VLOOKUP($A122,'Day-13 Clean Dataset'!$A:$I,6,FALSE)</f>
        <v>Unknown</v>
      </c>
      <c r="G122" s="37">
        <f>VLOOKUP($A122,'Day-13 Clean Dataset'!$A:$I,7,FALSE)</f>
        <v>5</v>
      </c>
      <c r="H122" s="37" t="str">
        <f>VLOOKUP($A122,'Day-13 Clean Dataset'!$A:$I,8,FALSE)</f>
        <v>Unknown</v>
      </c>
      <c r="I122" s="37" t="str">
        <f>VLOOKUP($A122,'Day-13 Clean Dataset'!$A:$I,9,FALSE)</f>
        <v>user101@example.com</v>
      </c>
    </row>
    <row r="123" spans="1:9" ht="19.95" customHeight="1" x14ac:dyDescent="0.3">
      <c r="A123" s="37" t="s">
        <v>130</v>
      </c>
      <c r="B123" s="37" t="str">
        <f>VLOOKUP($A123,'Day-13 Clean Dataset'!$A:$I,2,FALSE)</f>
        <v>Chris Lee</v>
      </c>
      <c r="C123" s="37" t="str">
        <f>VLOOKUP($A123,'Day-13 Clean Dataset'!$A:$I,3,FALSE)</f>
        <v>Sales</v>
      </c>
      <c r="D123" s="37" t="str">
        <f>VLOOKUP($A123,'Day-13 Clean Dataset'!$A:$I,4,FALSE)</f>
        <v>USA</v>
      </c>
      <c r="E123" s="37">
        <f>VLOOKUP($A123,'Day-13 Clean Dataset'!$A:$I,5,FALSE)</f>
        <v>45676</v>
      </c>
      <c r="F123" s="38">
        <f>VLOOKUP($A123,'Day-13 Clean Dataset'!$A:$I,6,FALSE)</f>
        <v>42855</v>
      </c>
      <c r="G123" s="37">
        <f>VLOOKUP($A123,'Day-13 Clean Dataset'!$A:$I,7,FALSE)</f>
        <v>2</v>
      </c>
      <c r="H123" s="37" t="str">
        <f>VLOOKUP($A123,'Day-13 Clean Dataset'!$A:$I,8,FALSE)</f>
        <v>Unknown</v>
      </c>
      <c r="I123" s="37" t="str">
        <f>VLOOKUP($A123,'Day-13 Clean Dataset'!$A:$I,9,FALSE)</f>
        <v>user132@example.com</v>
      </c>
    </row>
    <row r="124" spans="1:9" ht="19.95" customHeight="1" x14ac:dyDescent="0.3">
      <c r="A124" s="37" t="s">
        <v>131</v>
      </c>
      <c r="B124" s="37" t="str">
        <f>VLOOKUP($A124,'Day-13 Clean Dataset'!$A:$I,2,FALSE)</f>
        <v>Bob Johnson</v>
      </c>
      <c r="C124" s="37" t="str">
        <f>VLOOKUP($A124,'Day-13 Clean Dataset'!$A:$I,3,FALSE)</f>
        <v>Sales</v>
      </c>
      <c r="D124" s="37" t="str">
        <f>VLOOKUP($A124,'Day-13 Clean Dataset'!$A:$I,4,FALSE)</f>
        <v>Germany</v>
      </c>
      <c r="E124" s="37">
        <f>VLOOKUP($A124,'Day-13 Clean Dataset'!$A:$I,5,FALSE)</f>
        <v>52036</v>
      </c>
      <c r="F124" s="38">
        <f>VLOOKUP($A124,'Day-13 Clean Dataset'!$A:$I,6,FALSE)</f>
        <v>42862</v>
      </c>
      <c r="G124" s="37">
        <f>VLOOKUP($A124,'Day-13 Clean Dataset'!$A:$I,7,FALSE)</f>
        <v>3</v>
      </c>
      <c r="H124" s="37" t="str">
        <f>VLOOKUP($A124,'Day-13 Clean Dataset'!$A:$I,8,FALSE)</f>
        <v>Male</v>
      </c>
      <c r="I124" s="37" t="str">
        <f>VLOOKUP($A124,'Day-13 Clean Dataset'!$A:$I,9,FALSE)</f>
        <v>user171@example.com</v>
      </c>
    </row>
    <row r="125" spans="1:9" ht="19.95" customHeight="1" x14ac:dyDescent="0.3">
      <c r="A125" s="37" t="s">
        <v>132</v>
      </c>
      <c r="B125" s="37" t="str">
        <f>VLOOKUP($A125,'Day-13 Clean Dataset'!$A:$I,2,FALSE)</f>
        <v>Jane Smith</v>
      </c>
      <c r="C125" s="37" t="str">
        <f>VLOOKUP($A125,'Day-13 Clean Dataset'!$A:$I,3,FALSE)</f>
        <v>Unknown</v>
      </c>
      <c r="D125" s="37" t="str">
        <f>VLOOKUP($A125,'Day-13 Clean Dataset'!$A:$I,4,FALSE)</f>
        <v>Germany</v>
      </c>
      <c r="E125" s="37">
        <f>VLOOKUP($A125,'Day-13 Clean Dataset'!$A:$I,5,FALSE)</f>
        <v>30357</v>
      </c>
      <c r="F125" s="38">
        <f>VLOOKUP($A125,'Day-13 Clean Dataset'!$A:$I,6,FALSE)</f>
        <v>42869</v>
      </c>
      <c r="G125" s="37">
        <f>VLOOKUP($A125,'Day-13 Clean Dataset'!$A:$I,7,FALSE)</f>
        <v>5</v>
      </c>
      <c r="H125" s="37" t="str">
        <f>VLOOKUP($A125,'Day-13 Clean Dataset'!$A:$I,8,FALSE)</f>
        <v>Male</v>
      </c>
      <c r="I125" s="37" t="str">
        <f>VLOOKUP($A125,'Day-13 Clean Dataset'!$A:$I,9,FALSE)</f>
        <v>user145@example.com</v>
      </c>
    </row>
    <row r="126" spans="1:9" ht="19.95" customHeight="1" x14ac:dyDescent="0.3">
      <c r="A126" s="37" t="s">
        <v>133</v>
      </c>
      <c r="B126" s="37" t="str">
        <f>VLOOKUP($A126,'Day-13 Clean Dataset'!$A:$I,2,FALSE)</f>
        <v>John Doe</v>
      </c>
      <c r="C126" s="37" t="str">
        <f>VLOOKUP($A126,'Day-13 Clean Dataset'!$A:$I,3,FALSE)</f>
        <v>IT</v>
      </c>
      <c r="D126" s="37" t="str">
        <f>VLOOKUP($A126,'Day-13 Clean Dataset'!$A:$I,4,FALSE)</f>
        <v>Unknown</v>
      </c>
      <c r="E126" s="37">
        <f>VLOOKUP($A126,'Day-13 Clean Dataset'!$A:$I,5,FALSE)</f>
        <v>60034</v>
      </c>
      <c r="F126" s="38">
        <f>VLOOKUP($A126,'Day-13 Clean Dataset'!$A:$I,6,FALSE)</f>
        <v>42876</v>
      </c>
      <c r="G126" s="37">
        <f>VLOOKUP($A126,'Day-13 Clean Dataset'!$A:$I,7,FALSE)</f>
        <v>1</v>
      </c>
      <c r="H126" s="37" t="str">
        <f>VLOOKUP($A126,'Day-13 Clean Dataset'!$A:$I,8,FALSE)</f>
        <v>Female</v>
      </c>
      <c r="I126" s="37" t="str">
        <f>VLOOKUP($A126,'Day-13 Clean Dataset'!$A:$I,9,FALSE)</f>
        <v>user75@example.com</v>
      </c>
    </row>
    <row r="127" spans="1:9" ht="19.95" customHeight="1" x14ac:dyDescent="0.3">
      <c r="A127" s="37" t="s">
        <v>134</v>
      </c>
      <c r="B127" s="37" t="str">
        <f>VLOOKUP($A127,'Day-13 Clean Dataset'!$A:$I,2,FALSE)</f>
        <v>John Doe</v>
      </c>
      <c r="C127" s="37" t="str">
        <f>VLOOKUP($A127,'Day-13 Clean Dataset'!$A:$I,3,FALSE)</f>
        <v>Finance</v>
      </c>
      <c r="D127" s="37" t="str">
        <f>VLOOKUP($A127,'Day-13 Clean Dataset'!$A:$I,4,FALSE)</f>
        <v>Unknown</v>
      </c>
      <c r="E127" s="37">
        <f>VLOOKUP($A127,'Day-13 Clean Dataset'!$A:$I,5,FALSE)</f>
        <v>90019</v>
      </c>
      <c r="F127" s="38">
        <f>VLOOKUP($A127,'Day-13 Clean Dataset'!$A:$I,6,FALSE)</f>
        <v>42883</v>
      </c>
      <c r="G127" s="37">
        <f>VLOOKUP($A127,'Day-13 Clean Dataset'!$A:$I,7,FALSE)</f>
        <v>5</v>
      </c>
      <c r="H127" s="37" t="str">
        <f>VLOOKUP($A127,'Day-13 Clean Dataset'!$A:$I,8,FALSE)</f>
        <v>Unknown</v>
      </c>
      <c r="I127" s="37" t="str">
        <f>VLOOKUP($A127,'Day-13 Clean Dataset'!$A:$I,9,FALSE)</f>
        <v>user52@example.com</v>
      </c>
    </row>
    <row r="128" spans="1:9" ht="19.95" customHeight="1" x14ac:dyDescent="0.3">
      <c r="A128" s="37" t="s">
        <v>135</v>
      </c>
      <c r="B128" s="37" t="str">
        <f>VLOOKUP($A128,'Day-13 Clean Dataset'!$A:$I,2,FALSE)</f>
        <v>Bob Johnson</v>
      </c>
      <c r="C128" s="37" t="str">
        <f>VLOOKUP($A128,'Day-13 Clean Dataset'!$A:$I,3,FALSE)</f>
        <v>Unknown</v>
      </c>
      <c r="D128" s="37" t="str">
        <f>VLOOKUP($A128,'Day-13 Clean Dataset'!$A:$I,4,FALSE)</f>
        <v>Germany</v>
      </c>
      <c r="E128" s="37">
        <f>VLOOKUP($A128,'Day-13 Clean Dataset'!$A:$I,5,FALSE)</f>
        <v>71494</v>
      </c>
      <c r="F128" s="38">
        <f>VLOOKUP($A128,'Day-13 Clean Dataset'!$A:$I,6,FALSE)</f>
        <v>42890</v>
      </c>
      <c r="G128" s="37">
        <f>VLOOKUP($A128,'Day-13 Clean Dataset'!$A:$I,7,FALSE)</f>
        <v>3</v>
      </c>
      <c r="H128" s="37" t="str">
        <f>VLOOKUP($A128,'Day-13 Clean Dataset'!$A:$I,8,FALSE)</f>
        <v>Male</v>
      </c>
      <c r="I128" s="37" t="str">
        <f>VLOOKUP($A128,'Day-13 Clean Dataset'!$A:$I,9,FALSE)</f>
        <v>user100@example.com</v>
      </c>
    </row>
    <row r="129" spans="1:9" ht="19.95" customHeight="1" x14ac:dyDescent="0.3">
      <c r="A129" s="37" t="s">
        <v>136</v>
      </c>
      <c r="B129" s="37" t="str">
        <f>VLOOKUP($A129,'Day-13 Clean Dataset'!$A:$I,2,FALSE)</f>
        <v>John Doe</v>
      </c>
      <c r="C129" s="37" t="str">
        <f>VLOOKUP($A129,'Day-13 Clean Dataset'!$A:$I,3,FALSE)</f>
        <v>Finance</v>
      </c>
      <c r="D129" s="37" t="str">
        <f>VLOOKUP($A129,'Day-13 Clean Dataset'!$A:$I,4,FALSE)</f>
        <v>USA</v>
      </c>
      <c r="E129" s="37">
        <f>VLOOKUP($A129,'Day-13 Clean Dataset'!$A:$I,5,FALSE)</f>
        <v>91953</v>
      </c>
      <c r="F129" s="38">
        <f>VLOOKUP($A129,'Day-13 Clean Dataset'!$A:$I,6,FALSE)</f>
        <v>42897</v>
      </c>
      <c r="G129" s="37">
        <f>VLOOKUP($A129,'Day-13 Clean Dataset'!$A:$I,7,FALSE)</f>
        <v>2</v>
      </c>
      <c r="H129" s="37" t="str">
        <f>VLOOKUP($A129,'Day-13 Clean Dataset'!$A:$I,8,FALSE)</f>
        <v>Male</v>
      </c>
      <c r="I129" s="37" t="str">
        <f>VLOOKUP($A129,'Day-13 Clean Dataset'!$A:$I,9,FALSE)</f>
        <v>user83@example.com</v>
      </c>
    </row>
    <row r="130" spans="1:9" ht="19.95" customHeight="1" x14ac:dyDescent="0.3">
      <c r="A130" s="37" t="s">
        <v>137</v>
      </c>
      <c r="B130" s="37" t="str">
        <f>VLOOKUP($A130,'Day-13 Clean Dataset'!$A:$I,2,FALSE)</f>
        <v>Chris Lee</v>
      </c>
      <c r="C130" s="37" t="str">
        <f>VLOOKUP($A130,'Day-13 Clean Dataset'!$A:$I,3,FALSE)</f>
        <v>Sales</v>
      </c>
      <c r="D130" s="37" t="str">
        <f>VLOOKUP($A130,'Day-13 Clean Dataset'!$A:$I,4,FALSE)</f>
        <v>USA</v>
      </c>
      <c r="E130" s="37">
        <f>VLOOKUP($A130,'Day-13 Clean Dataset'!$A:$I,5,FALSE)</f>
        <v>30402</v>
      </c>
      <c r="F130" s="38">
        <f>VLOOKUP($A130,'Day-13 Clean Dataset'!$A:$I,6,FALSE)</f>
        <v>42904</v>
      </c>
      <c r="G130" s="37">
        <f>VLOOKUP($A130,'Day-13 Clean Dataset'!$A:$I,7,FALSE)</f>
        <v>1</v>
      </c>
      <c r="H130" s="37" t="str">
        <f>VLOOKUP($A130,'Day-13 Clean Dataset'!$A:$I,8,FALSE)</f>
        <v>Unknown</v>
      </c>
      <c r="I130" s="37" t="str">
        <f>VLOOKUP($A130,'Day-13 Clean Dataset'!$A:$I,9,FALSE)</f>
        <v>user167@example.com</v>
      </c>
    </row>
    <row r="131" spans="1:9" ht="19.95" customHeight="1" x14ac:dyDescent="0.3">
      <c r="A131" s="37" t="s">
        <v>138</v>
      </c>
      <c r="B131" s="37" t="str">
        <f>VLOOKUP($A131,'Day-13 Clean Dataset'!$A:$I,2,FALSE)</f>
        <v>Bob Johnson</v>
      </c>
      <c r="C131" s="37" t="str">
        <f>VLOOKUP($A131,'Day-13 Clean Dataset'!$A:$I,3,FALSE)</f>
        <v>Unknown</v>
      </c>
      <c r="D131" s="37" t="str">
        <f>VLOOKUP($A131,'Day-13 Clean Dataset'!$A:$I,4,FALSE)</f>
        <v>UK</v>
      </c>
      <c r="E131" s="37">
        <f>VLOOKUP($A131,'Day-13 Clean Dataset'!$A:$I,5,FALSE)</f>
        <v>62994</v>
      </c>
      <c r="F131" s="38">
        <f>VLOOKUP($A131,'Day-13 Clean Dataset'!$A:$I,6,FALSE)</f>
        <v>42911</v>
      </c>
      <c r="G131" s="37" t="str">
        <f>VLOOKUP($A131,'Day-13 Clean Dataset'!$A:$I,7,FALSE)</f>
        <v>Unknown</v>
      </c>
      <c r="H131" s="37" t="str">
        <f>VLOOKUP($A131,'Day-13 Clean Dataset'!$A:$I,8,FALSE)</f>
        <v>Unknown</v>
      </c>
      <c r="I131" s="37" t="str">
        <f>VLOOKUP($A131,'Day-13 Clean Dataset'!$A:$I,9,FALSE)</f>
        <v>user175@example.com</v>
      </c>
    </row>
    <row r="132" spans="1:9" ht="19.95" customHeight="1" x14ac:dyDescent="0.3">
      <c r="A132" s="37" t="s">
        <v>139</v>
      </c>
      <c r="B132" s="37" t="str">
        <f>VLOOKUP($A132,'Day-13 Clean Dataset'!$A:$I,2,FALSE)</f>
        <v>Alice Brown</v>
      </c>
      <c r="C132" s="37" t="str">
        <f>VLOOKUP($A132,'Day-13 Clean Dataset'!$A:$I,3,FALSE)</f>
        <v>Sales</v>
      </c>
      <c r="D132" s="37" t="str">
        <f>VLOOKUP($A132,'Day-13 Clean Dataset'!$A:$I,4,FALSE)</f>
        <v>India</v>
      </c>
      <c r="E132" s="37">
        <f>VLOOKUP($A132,'Day-13 Clean Dataset'!$A:$I,5,FALSE)</f>
        <v>48289</v>
      </c>
      <c r="F132" s="38" t="str">
        <f>VLOOKUP($A132,'Day-13 Clean Dataset'!$A:$I,6,FALSE)</f>
        <v>Unknown</v>
      </c>
      <c r="G132" s="37">
        <f>VLOOKUP($A132,'Day-13 Clean Dataset'!$A:$I,7,FALSE)</f>
        <v>3</v>
      </c>
      <c r="H132" s="37" t="str">
        <f>VLOOKUP($A132,'Day-13 Clean Dataset'!$A:$I,8,FALSE)</f>
        <v>Male</v>
      </c>
      <c r="I132" s="37" t="str">
        <f>VLOOKUP($A132,'Day-13 Clean Dataset'!$A:$I,9,FALSE)</f>
        <v>user25@example.com</v>
      </c>
    </row>
    <row r="133" spans="1:9" ht="19.95" customHeight="1" x14ac:dyDescent="0.3">
      <c r="A133" s="37" t="s">
        <v>140</v>
      </c>
      <c r="B133" s="37" t="str">
        <f>VLOOKUP($A133,'Day-13 Clean Dataset'!$A:$I,2,FALSE)</f>
        <v>Sam Wilson</v>
      </c>
      <c r="C133" s="37" t="str">
        <f>VLOOKUP($A133,'Day-13 Clean Dataset'!$A:$I,3,FALSE)</f>
        <v>Marketing</v>
      </c>
      <c r="D133" s="37" t="str">
        <f>VLOOKUP($A133,'Day-13 Clean Dataset'!$A:$I,4,FALSE)</f>
        <v>Germany</v>
      </c>
      <c r="E133" s="37">
        <f>VLOOKUP($A133,'Day-13 Clean Dataset'!$A:$I,5,FALSE)</f>
        <v>34402</v>
      </c>
      <c r="F133" s="38">
        <f>VLOOKUP($A133,'Day-13 Clean Dataset'!$A:$I,6,FALSE)</f>
        <v>42925</v>
      </c>
      <c r="G133" s="37">
        <f>VLOOKUP($A133,'Day-13 Clean Dataset'!$A:$I,7,FALSE)</f>
        <v>3</v>
      </c>
      <c r="H133" s="37" t="str">
        <f>VLOOKUP($A133,'Day-13 Clean Dataset'!$A:$I,8,FALSE)</f>
        <v>Other</v>
      </c>
      <c r="I133" s="37" t="str">
        <f>VLOOKUP($A133,'Day-13 Clean Dataset'!$A:$I,9,FALSE)</f>
        <v>user42@example.com</v>
      </c>
    </row>
    <row r="134" spans="1:9" ht="19.95" customHeight="1" x14ac:dyDescent="0.3">
      <c r="A134" s="37" t="s">
        <v>141</v>
      </c>
      <c r="B134" s="37" t="str">
        <f>VLOOKUP($A134,'Day-13 Clean Dataset'!$A:$I,2,FALSE)</f>
        <v>Eve Adams</v>
      </c>
      <c r="C134" s="37" t="str">
        <f>VLOOKUP($A134,'Day-13 Clean Dataset'!$A:$I,3,FALSE)</f>
        <v>HR</v>
      </c>
      <c r="D134" s="37" t="str">
        <f>VLOOKUP($A134,'Day-13 Clean Dataset'!$A:$I,4,FALSE)</f>
        <v>USA</v>
      </c>
      <c r="E134" s="37">
        <f>VLOOKUP($A134,'Day-13 Clean Dataset'!$A:$I,5,FALSE)</f>
        <v>38678</v>
      </c>
      <c r="F134" s="38">
        <f>VLOOKUP($A134,'Day-13 Clean Dataset'!$A:$I,6,FALSE)</f>
        <v>42932</v>
      </c>
      <c r="G134" s="37">
        <f>VLOOKUP($A134,'Day-13 Clean Dataset'!$A:$I,7,FALSE)</f>
        <v>3</v>
      </c>
      <c r="H134" s="37" t="str">
        <f>VLOOKUP($A134,'Day-13 Clean Dataset'!$A:$I,8,FALSE)</f>
        <v>Other</v>
      </c>
      <c r="I134" s="37" t="str">
        <f>VLOOKUP($A134,'Day-13 Clean Dataset'!$A:$I,9,FALSE)</f>
        <v>user188@example.com</v>
      </c>
    </row>
    <row r="135" spans="1:9" ht="19.95" customHeight="1" x14ac:dyDescent="0.3">
      <c r="A135" s="37" t="s">
        <v>142</v>
      </c>
      <c r="B135" s="37" t="str">
        <f>VLOOKUP($A135,'Day-13 Clean Dataset'!$A:$I,2,FALSE)</f>
        <v>Chris Lee</v>
      </c>
      <c r="C135" s="37" t="str">
        <f>VLOOKUP($A135,'Day-13 Clean Dataset'!$A:$I,3,FALSE)</f>
        <v>HR</v>
      </c>
      <c r="D135" s="37" t="str">
        <f>VLOOKUP($A135,'Day-13 Clean Dataset'!$A:$I,4,FALSE)</f>
        <v>Germany</v>
      </c>
      <c r="E135" s="37">
        <f>VLOOKUP($A135,'Day-13 Clean Dataset'!$A:$I,5,FALSE)</f>
        <v>45758</v>
      </c>
      <c r="F135" s="38">
        <f>VLOOKUP($A135,'Day-13 Clean Dataset'!$A:$I,6,FALSE)</f>
        <v>42939</v>
      </c>
      <c r="G135" s="37">
        <f>VLOOKUP($A135,'Day-13 Clean Dataset'!$A:$I,7,FALSE)</f>
        <v>3</v>
      </c>
      <c r="H135" s="37" t="str">
        <f>VLOOKUP($A135,'Day-13 Clean Dataset'!$A:$I,8,FALSE)</f>
        <v>Unknown</v>
      </c>
      <c r="I135" s="37" t="str">
        <f>VLOOKUP($A135,'Day-13 Clean Dataset'!$A:$I,9,FALSE)</f>
        <v>user44@example.com</v>
      </c>
    </row>
    <row r="136" spans="1:9" ht="19.95" customHeight="1" x14ac:dyDescent="0.3">
      <c r="A136" s="37" t="s">
        <v>143</v>
      </c>
      <c r="B136" s="37" t="str">
        <f>VLOOKUP($A136,'Day-13 Clean Dataset'!$A:$I,2,FALSE)</f>
        <v>Eve Adams</v>
      </c>
      <c r="C136" s="37" t="str">
        <f>VLOOKUP($A136,'Day-13 Clean Dataset'!$A:$I,3,FALSE)</f>
        <v>Marketing</v>
      </c>
      <c r="D136" s="37" t="str">
        <f>VLOOKUP($A136,'Day-13 Clean Dataset'!$A:$I,4,FALSE)</f>
        <v>India</v>
      </c>
      <c r="E136" s="37">
        <f>VLOOKUP($A136,'Day-13 Clean Dataset'!$A:$I,5,FALSE)</f>
        <v>62476</v>
      </c>
      <c r="F136" s="38">
        <f>VLOOKUP($A136,'Day-13 Clean Dataset'!$A:$I,6,FALSE)</f>
        <v>42946</v>
      </c>
      <c r="G136" s="37">
        <f>VLOOKUP($A136,'Day-13 Clean Dataset'!$A:$I,7,FALSE)</f>
        <v>1</v>
      </c>
      <c r="H136" s="37" t="str">
        <f>VLOOKUP($A136,'Day-13 Clean Dataset'!$A:$I,8,FALSE)</f>
        <v>Other</v>
      </c>
      <c r="I136" s="37" t="str">
        <f>VLOOKUP($A136,'Day-13 Clean Dataset'!$A:$I,9,FALSE)</f>
        <v>user63@example.com</v>
      </c>
    </row>
    <row r="137" spans="1:9" ht="19.95" customHeight="1" x14ac:dyDescent="0.3">
      <c r="A137" s="37" t="s">
        <v>144</v>
      </c>
      <c r="B137" s="37" t="str">
        <f>VLOOKUP($A137,'Day-13 Clean Dataset'!$A:$I,2,FALSE)</f>
        <v>Unknown</v>
      </c>
      <c r="C137" s="37" t="str">
        <f>VLOOKUP($A137,'Day-13 Clean Dataset'!$A:$I,3,FALSE)</f>
        <v>IT</v>
      </c>
      <c r="D137" s="37" t="str">
        <f>VLOOKUP($A137,'Day-13 Clean Dataset'!$A:$I,4,FALSE)</f>
        <v>UK</v>
      </c>
      <c r="E137" s="37">
        <f>VLOOKUP($A137,'Day-13 Clean Dataset'!$A:$I,5,FALSE)</f>
        <v>39280</v>
      </c>
      <c r="F137" s="38">
        <f>VLOOKUP($A137,'Day-13 Clean Dataset'!$A:$I,6,FALSE)</f>
        <v>42953</v>
      </c>
      <c r="G137" s="37">
        <f>VLOOKUP($A137,'Day-13 Clean Dataset'!$A:$I,7,FALSE)</f>
        <v>3</v>
      </c>
      <c r="H137" s="37" t="str">
        <f>VLOOKUP($A137,'Day-13 Clean Dataset'!$A:$I,8,FALSE)</f>
        <v>Female</v>
      </c>
      <c r="I137" s="37" t="str">
        <f>VLOOKUP($A137,'Day-13 Clean Dataset'!$A:$I,9,FALSE)</f>
        <v>user198@example.com</v>
      </c>
    </row>
    <row r="138" spans="1:9" ht="19.95" customHeight="1" x14ac:dyDescent="0.3">
      <c r="A138" s="37" t="s">
        <v>145</v>
      </c>
      <c r="B138" s="37" t="str">
        <f>VLOOKUP($A138,'Day-13 Clean Dataset'!$A:$I,2,FALSE)</f>
        <v>Jane Smith</v>
      </c>
      <c r="C138" s="37" t="str">
        <f>VLOOKUP($A138,'Day-13 Clean Dataset'!$A:$I,3,FALSE)</f>
        <v>Finance</v>
      </c>
      <c r="D138" s="37" t="str">
        <f>VLOOKUP($A138,'Day-13 Clean Dataset'!$A:$I,4,FALSE)</f>
        <v>India</v>
      </c>
      <c r="E138" s="37">
        <f>VLOOKUP($A138,'Day-13 Clean Dataset'!$A:$I,5,FALSE)</f>
        <v>60335</v>
      </c>
      <c r="F138" s="38">
        <f>VLOOKUP($A138,'Day-13 Clean Dataset'!$A:$I,6,FALSE)</f>
        <v>42960</v>
      </c>
      <c r="G138" s="37">
        <f>VLOOKUP($A138,'Day-13 Clean Dataset'!$A:$I,7,FALSE)</f>
        <v>4</v>
      </c>
      <c r="H138" s="37" t="str">
        <f>VLOOKUP($A138,'Day-13 Clean Dataset'!$A:$I,8,FALSE)</f>
        <v>Other</v>
      </c>
      <c r="I138" s="37" t="str">
        <f>VLOOKUP($A138,'Day-13 Clean Dataset'!$A:$I,9,FALSE)</f>
        <v>user59@example.com</v>
      </c>
    </row>
    <row r="139" spans="1:9" ht="19.95" customHeight="1" x14ac:dyDescent="0.3">
      <c r="A139" s="37" t="s">
        <v>146</v>
      </c>
      <c r="B139" s="37" t="str">
        <f>VLOOKUP($A139,'Day-13 Clean Dataset'!$A:$I,2,FALSE)</f>
        <v>Chris Lee</v>
      </c>
      <c r="C139" s="37" t="str">
        <f>VLOOKUP($A139,'Day-13 Clean Dataset'!$A:$I,3,FALSE)</f>
        <v>HR</v>
      </c>
      <c r="D139" s="37" t="str">
        <f>VLOOKUP($A139,'Day-13 Clean Dataset'!$A:$I,4,FALSE)</f>
        <v>Germany</v>
      </c>
      <c r="E139" s="37">
        <f>VLOOKUP($A139,'Day-13 Clean Dataset'!$A:$I,5,FALSE)</f>
        <v>84968</v>
      </c>
      <c r="F139" s="38">
        <f>VLOOKUP($A139,'Day-13 Clean Dataset'!$A:$I,6,FALSE)</f>
        <v>42967</v>
      </c>
      <c r="G139" s="37" t="str">
        <f>VLOOKUP($A139,'Day-13 Clean Dataset'!$A:$I,7,FALSE)</f>
        <v>Unknown</v>
      </c>
      <c r="H139" s="37" t="str">
        <f>VLOOKUP($A139,'Day-13 Clean Dataset'!$A:$I,8,FALSE)</f>
        <v>Unknown</v>
      </c>
      <c r="I139" s="37" t="str">
        <f>VLOOKUP($A139,'Day-13 Clean Dataset'!$A:$I,9,FALSE)</f>
        <v>user165@example.com</v>
      </c>
    </row>
    <row r="140" spans="1:9" ht="19.95" customHeight="1" x14ac:dyDescent="0.3">
      <c r="A140" s="37" t="s">
        <v>147</v>
      </c>
      <c r="B140" s="37" t="str">
        <f>VLOOKUP($A140,'Day-13 Clean Dataset'!$A:$I,2,FALSE)</f>
        <v>Chris Lee</v>
      </c>
      <c r="C140" s="37" t="str">
        <f>VLOOKUP($A140,'Day-13 Clean Dataset'!$A:$I,3,FALSE)</f>
        <v>Marketing</v>
      </c>
      <c r="D140" s="37" t="str">
        <f>VLOOKUP($A140,'Day-13 Clean Dataset'!$A:$I,4,FALSE)</f>
        <v>Australia</v>
      </c>
      <c r="E140" s="37">
        <f>VLOOKUP($A140,'Day-13 Clean Dataset'!$A:$I,5,FALSE)</f>
        <v>84750</v>
      </c>
      <c r="F140" s="38">
        <f>VLOOKUP($A140,'Day-13 Clean Dataset'!$A:$I,6,FALSE)</f>
        <v>42974</v>
      </c>
      <c r="G140" s="37">
        <f>VLOOKUP($A140,'Day-13 Clean Dataset'!$A:$I,7,FALSE)</f>
        <v>4</v>
      </c>
      <c r="H140" s="37" t="str">
        <f>VLOOKUP($A140,'Day-13 Clean Dataset'!$A:$I,8,FALSE)</f>
        <v>Female</v>
      </c>
      <c r="I140" s="37" t="str">
        <f>VLOOKUP($A140,'Day-13 Clean Dataset'!$A:$I,9,FALSE)</f>
        <v>user3@example.com</v>
      </c>
    </row>
    <row r="141" spans="1:9" ht="19.95" customHeight="1" x14ac:dyDescent="0.3">
      <c r="A141" s="37" t="s">
        <v>148</v>
      </c>
      <c r="B141" s="37" t="str">
        <f>VLOOKUP($A141,'Day-13 Clean Dataset'!$A:$I,2,FALSE)</f>
        <v>Bob Johnson</v>
      </c>
      <c r="C141" s="37" t="str">
        <f>VLOOKUP($A141,'Day-13 Clean Dataset'!$A:$I,3,FALSE)</f>
        <v>IT</v>
      </c>
      <c r="D141" s="37" t="str">
        <f>VLOOKUP($A141,'Day-13 Clean Dataset'!$A:$I,4,FALSE)</f>
        <v>Unknown</v>
      </c>
      <c r="E141" s="37">
        <f>VLOOKUP($A141,'Day-13 Clean Dataset'!$A:$I,5,FALSE)</f>
        <v>73348</v>
      </c>
      <c r="F141" s="38">
        <f>VLOOKUP($A141,'Day-13 Clean Dataset'!$A:$I,6,FALSE)</f>
        <v>42981</v>
      </c>
      <c r="G141" s="37">
        <f>VLOOKUP($A141,'Day-13 Clean Dataset'!$A:$I,7,FALSE)</f>
        <v>2</v>
      </c>
      <c r="H141" s="37" t="str">
        <f>VLOOKUP($A141,'Day-13 Clean Dataset'!$A:$I,8,FALSE)</f>
        <v>Unknown</v>
      </c>
      <c r="I141" s="37" t="str">
        <f>VLOOKUP($A141,'Day-13 Clean Dataset'!$A:$I,9,FALSE)</f>
        <v>user22@example.com</v>
      </c>
    </row>
    <row r="142" spans="1:9" ht="19.95" customHeight="1" x14ac:dyDescent="0.3">
      <c r="A142" s="37" t="s">
        <v>149</v>
      </c>
      <c r="B142" s="37" t="str">
        <f>VLOOKUP($A142,'Day-13 Clean Dataset'!$A:$I,2,FALSE)</f>
        <v>Chris Lee</v>
      </c>
      <c r="C142" s="37" t="str">
        <f>VLOOKUP($A142,'Day-13 Clean Dataset'!$A:$I,3,FALSE)</f>
        <v>Sales</v>
      </c>
      <c r="D142" s="37" t="str">
        <f>VLOOKUP($A142,'Day-13 Clean Dataset'!$A:$I,4,FALSE)</f>
        <v>USA</v>
      </c>
      <c r="E142" s="37" t="str">
        <f>VLOOKUP($A142,'Day-13 Clean Dataset'!$A:$I,5,FALSE)</f>
        <v>Unknown</v>
      </c>
      <c r="F142" s="38">
        <f>VLOOKUP($A142,'Day-13 Clean Dataset'!$A:$I,6,FALSE)</f>
        <v>42988</v>
      </c>
      <c r="G142" s="37">
        <f>VLOOKUP($A142,'Day-13 Clean Dataset'!$A:$I,7,FALSE)</f>
        <v>4</v>
      </c>
      <c r="H142" s="37" t="str">
        <f>VLOOKUP($A142,'Day-13 Clean Dataset'!$A:$I,8,FALSE)</f>
        <v>Other</v>
      </c>
      <c r="I142" s="37" t="str">
        <f>VLOOKUP($A142,'Day-13 Clean Dataset'!$A:$I,9,FALSE)</f>
        <v>Unknown</v>
      </c>
    </row>
    <row r="143" spans="1:9" ht="19.95" customHeight="1" x14ac:dyDescent="0.3">
      <c r="A143" s="37" t="s">
        <v>150</v>
      </c>
      <c r="B143" s="37" t="str">
        <f>VLOOKUP($A143,'Day-13 Clean Dataset'!$A:$I,2,FALSE)</f>
        <v>Jane Smith</v>
      </c>
      <c r="C143" s="37" t="str">
        <f>VLOOKUP($A143,'Day-13 Clean Dataset'!$A:$I,3,FALSE)</f>
        <v>Marketing</v>
      </c>
      <c r="D143" s="37" t="str">
        <f>VLOOKUP($A143,'Day-13 Clean Dataset'!$A:$I,4,FALSE)</f>
        <v>USA</v>
      </c>
      <c r="E143" s="37">
        <f>VLOOKUP($A143,'Day-13 Clean Dataset'!$A:$I,5,FALSE)</f>
        <v>66882</v>
      </c>
      <c r="F143" s="38">
        <f>VLOOKUP($A143,'Day-13 Clean Dataset'!$A:$I,6,FALSE)</f>
        <v>42995</v>
      </c>
      <c r="G143" s="37">
        <f>VLOOKUP($A143,'Day-13 Clean Dataset'!$A:$I,7,FALSE)</f>
        <v>5</v>
      </c>
      <c r="H143" s="37" t="str">
        <f>VLOOKUP($A143,'Day-13 Clean Dataset'!$A:$I,8,FALSE)</f>
        <v>Other</v>
      </c>
      <c r="I143" s="37" t="str">
        <f>VLOOKUP($A143,'Day-13 Clean Dataset'!$A:$I,9,FALSE)</f>
        <v>user103@example.com</v>
      </c>
    </row>
    <row r="144" spans="1:9" ht="19.95" customHeight="1" x14ac:dyDescent="0.3">
      <c r="A144" s="37" t="s">
        <v>151</v>
      </c>
      <c r="B144" s="37" t="str">
        <f>VLOOKUP($A144,'Day-13 Clean Dataset'!$A:$I,2,FALSE)</f>
        <v>Alice Brown</v>
      </c>
      <c r="C144" s="37" t="str">
        <f>VLOOKUP($A144,'Day-13 Clean Dataset'!$A:$I,3,FALSE)</f>
        <v>Marketing</v>
      </c>
      <c r="D144" s="37" t="str">
        <f>VLOOKUP($A144,'Day-13 Clean Dataset'!$A:$I,4,FALSE)</f>
        <v>Unknown</v>
      </c>
      <c r="E144" s="37">
        <f>VLOOKUP($A144,'Day-13 Clean Dataset'!$A:$I,5,FALSE)</f>
        <v>86775</v>
      </c>
      <c r="F144" s="38">
        <f>VLOOKUP($A144,'Day-13 Clean Dataset'!$A:$I,6,FALSE)</f>
        <v>43002</v>
      </c>
      <c r="G144" s="37">
        <f>VLOOKUP($A144,'Day-13 Clean Dataset'!$A:$I,7,FALSE)</f>
        <v>3</v>
      </c>
      <c r="H144" s="37" t="str">
        <f>VLOOKUP($A144,'Day-13 Clean Dataset'!$A:$I,8,FALSE)</f>
        <v>Other</v>
      </c>
      <c r="I144" s="37" t="str">
        <f>VLOOKUP($A144,'Day-13 Clean Dataset'!$A:$I,9,FALSE)</f>
        <v>user190@example.com</v>
      </c>
    </row>
    <row r="145" spans="1:9" ht="19.95" customHeight="1" x14ac:dyDescent="0.3">
      <c r="A145" s="37" t="s">
        <v>152</v>
      </c>
      <c r="B145" s="37" t="str">
        <f>VLOOKUP($A145,'Day-13 Clean Dataset'!$A:$I,2,FALSE)</f>
        <v>Chris Lee</v>
      </c>
      <c r="C145" s="37" t="str">
        <f>VLOOKUP($A145,'Day-13 Clean Dataset'!$A:$I,3,FALSE)</f>
        <v>Sales</v>
      </c>
      <c r="D145" s="37" t="str">
        <f>VLOOKUP($A145,'Day-13 Clean Dataset'!$A:$I,4,FALSE)</f>
        <v>UK</v>
      </c>
      <c r="E145" s="37">
        <f>VLOOKUP($A145,'Day-13 Clean Dataset'!$A:$I,5,FALSE)</f>
        <v>91620</v>
      </c>
      <c r="F145" s="38">
        <f>VLOOKUP($A145,'Day-13 Clean Dataset'!$A:$I,6,FALSE)</f>
        <v>43009</v>
      </c>
      <c r="G145" s="37" t="str">
        <f>VLOOKUP($A145,'Day-13 Clean Dataset'!$A:$I,7,FALSE)</f>
        <v>Unknown</v>
      </c>
      <c r="H145" s="37" t="str">
        <f>VLOOKUP($A145,'Day-13 Clean Dataset'!$A:$I,8,FALSE)</f>
        <v>Unknown</v>
      </c>
      <c r="I145" s="37" t="str">
        <f>VLOOKUP($A145,'Day-13 Clean Dataset'!$A:$I,9,FALSE)</f>
        <v>user114@example.com</v>
      </c>
    </row>
    <row r="146" spans="1:9" ht="19.95" customHeight="1" x14ac:dyDescent="0.3">
      <c r="A146" s="37" t="s">
        <v>153</v>
      </c>
      <c r="B146" s="37" t="str">
        <f>VLOOKUP($A146,'Day-13 Clean Dataset'!$A:$I,2,FALSE)</f>
        <v>Eve Adams</v>
      </c>
      <c r="C146" s="37" t="str">
        <f>VLOOKUP($A146,'Day-13 Clean Dataset'!$A:$I,3,FALSE)</f>
        <v>Unknown</v>
      </c>
      <c r="D146" s="37" t="str">
        <f>VLOOKUP($A146,'Day-13 Clean Dataset'!$A:$I,4,FALSE)</f>
        <v>Unknown</v>
      </c>
      <c r="E146" s="37">
        <f>VLOOKUP($A146,'Day-13 Clean Dataset'!$A:$I,5,FALSE)</f>
        <v>94148</v>
      </c>
      <c r="F146" s="38">
        <f>VLOOKUP($A146,'Day-13 Clean Dataset'!$A:$I,6,FALSE)</f>
        <v>43016</v>
      </c>
      <c r="G146" s="37">
        <f>VLOOKUP($A146,'Day-13 Clean Dataset'!$A:$I,7,FALSE)</f>
        <v>2</v>
      </c>
      <c r="H146" s="37" t="str">
        <f>VLOOKUP($A146,'Day-13 Clean Dataset'!$A:$I,8,FALSE)</f>
        <v>Unknown</v>
      </c>
      <c r="I146" s="37" t="str">
        <f>VLOOKUP($A146,'Day-13 Clean Dataset'!$A:$I,9,FALSE)</f>
        <v>user53@example.com</v>
      </c>
    </row>
    <row r="147" spans="1:9" ht="19.95" customHeight="1" x14ac:dyDescent="0.3">
      <c r="A147" s="37" t="s">
        <v>154</v>
      </c>
      <c r="B147" s="37" t="str">
        <f>VLOOKUP($A147,'Day-13 Clean Dataset'!$A:$I,2,FALSE)</f>
        <v>Sam Wilson</v>
      </c>
      <c r="C147" s="37" t="str">
        <f>VLOOKUP($A147,'Day-13 Clean Dataset'!$A:$I,3,FALSE)</f>
        <v>Sales</v>
      </c>
      <c r="D147" s="37" t="str">
        <f>VLOOKUP($A147,'Day-13 Clean Dataset'!$A:$I,4,FALSE)</f>
        <v>Australia</v>
      </c>
      <c r="E147" s="37">
        <f>VLOOKUP($A147,'Day-13 Clean Dataset'!$A:$I,5,FALSE)</f>
        <v>35627</v>
      </c>
      <c r="F147" s="38">
        <f>VLOOKUP($A147,'Day-13 Clean Dataset'!$A:$I,6,FALSE)</f>
        <v>43023</v>
      </c>
      <c r="G147" s="37">
        <f>VLOOKUP($A147,'Day-13 Clean Dataset'!$A:$I,7,FALSE)</f>
        <v>5</v>
      </c>
      <c r="H147" s="37" t="str">
        <f>VLOOKUP($A147,'Day-13 Clean Dataset'!$A:$I,8,FALSE)</f>
        <v>Female</v>
      </c>
      <c r="I147" s="37" t="str">
        <f>VLOOKUP($A147,'Day-13 Clean Dataset'!$A:$I,9,FALSE)</f>
        <v>user188@example.com</v>
      </c>
    </row>
    <row r="148" spans="1:9" ht="19.95" customHeight="1" x14ac:dyDescent="0.3">
      <c r="A148" s="37" t="s">
        <v>155</v>
      </c>
      <c r="B148" s="37" t="str">
        <f>VLOOKUP($A148,'Day-13 Clean Dataset'!$A:$I,2,FALSE)</f>
        <v>John Doe</v>
      </c>
      <c r="C148" s="37" t="str">
        <f>VLOOKUP($A148,'Day-13 Clean Dataset'!$A:$I,3,FALSE)</f>
        <v>Marketing</v>
      </c>
      <c r="D148" s="37" t="str">
        <f>VLOOKUP($A148,'Day-13 Clean Dataset'!$A:$I,4,FALSE)</f>
        <v>USA</v>
      </c>
      <c r="E148" s="37">
        <f>VLOOKUP($A148,'Day-13 Clean Dataset'!$A:$I,5,FALSE)</f>
        <v>57141</v>
      </c>
      <c r="F148" s="38">
        <f>VLOOKUP($A148,'Day-13 Clean Dataset'!$A:$I,6,FALSE)</f>
        <v>43030</v>
      </c>
      <c r="G148" s="37">
        <f>VLOOKUP($A148,'Day-13 Clean Dataset'!$A:$I,7,FALSE)</f>
        <v>2</v>
      </c>
      <c r="H148" s="37" t="str">
        <f>VLOOKUP($A148,'Day-13 Clean Dataset'!$A:$I,8,FALSE)</f>
        <v>Unknown</v>
      </c>
      <c r="I148" s="37" t="str">
        <f>VLOOKUP($A148,'Day-13 Clean Dataset'!$A:$I,9,FALSE)</f>
        <v>user165@example.com</v>
      </c>
    </row>
    <row r="149" spans="1:9" ht="19.95" customHeight="1" x14ac:dyDescent="0.3">
      <c r="A149" s="37" t="s">
        <v>156</v>
      </c>
      <c r="B149" s="37" t="str">
        <f>VLOOKUP($A149,'Day-13 Clean Dataset'!$A:$I,2,FALSE)</f>
        <v>Bob Johnson</v>
      </c>
      <c r="C149" s="37" t="str">
        <f>VLOOKUP($A149,'Day-13 Clean Dataset'!$A:$I,3,FALSE)</f>
        <v>Sales</v>
      </c>
      <c r="D149" s="37" t="str">
        <f>VLOOKUP($A149,'Day-13 Clean Dataset'!$A:$I,4,FALSE)</f>
        <v>Australia</v>
      </c>
      <c r="E149" s="37">
        <f>VLOOKUP($A149,'Day-13 Clean Dataset'!$A:$I,5,FALSE)</f>
        <v>65270</v>
      </c>
      <c r="F149" s="38">
        <f>VLOOKUP($A149,'Day-13 Clean Dataset'!$A:$I,6,FALSE)</f>
        <v>43037</v>
      </c>
      <c r="G149" s="37">
        <f>VLOOKUP($A149,'Day-13 Clean Dataset'!$A:$I,7,FALSE)</f>
        <v>1</v>
      </c>
      <c r="H149" s="37" t="str">
        <f>VLOOKUP($A149,'Day-13 Clean Dataset'!$A:$I,8,FALSE)</f>
        <v>Unknown</v>
      </c>
      <c r="I149" s="37" t="str">
        <f>VLOOKUP($A149,'Day-13 Clean Dataset'!$A:$I,9,FALSE)</f>
        <v>user163@example.com</v>
      </c>
    </row>
    <row r="150" spans="1:9" ht="19.95" customHeight="1" x14ac:dyDescent="0.3">
      <c r="A150" s="37" t="s">
        <v>157</v>
      </c>
      <c r="B150" s="37" t="str">
        <f>VLOOKUP($A150,'Day-13 Clean Dataset'!$A:$I,2,FALSE)</f>
        <v>Bob Johnson</v>
      </c>
      <c r="C150" s="37" t="str">
        <f>VLOOKUP($A150,'Day-13 Clean Dataset'!$A:$I,3,FALSE)</f>
        <v>Unknown</v>
      </c>
      <c r="D150" s="37" t="str">
        <f>VLOOKUP($A150,'Day-13 Clean Dataset'!$A:$I,4,FALSE)</f>
        <v>UK</v>
      </c>
      <c r="E150" s="37">
        <f>VLOOKUP($A150,'Day-13 Clean Dataset'!$A:$I,5,FALSE)</f>
        <v>67335</v>
      </c>
      <c r="F150" s="38">
        <f>VLOOKUP($A150,'Day-13 Clean Dataset'!$A:$I,6,FALSE)</f>
        <v>43044</v>
      </c>
      <c r="G150" s="37">
        <f>VLOOKUP($A150,'Day-13 Clean Dataset'!$A:$I,7,FALSE)</f>
        <v>1</v>
      </c>
      <c r="H150" s="37" t="str">
        <f>VLOOKUP($A150,'Day-13 Clean Dataset'!$A:$I,8,FALSE)</f>
        <v>Other</v>
      </c>
      <c r="I150" s="37" t="str">
        <f>VLOOKUP($A150,'Day-13 Clean Dataset'!$A:$I,9,FALSE)</f>
        <v>user112@example.com</v>
      </c>
    </row>
    <row r="151" spans="1:9" ht="19.95" customHeight="1" x14ac:dyDescent="0.3">
      <c r="A151" s="37" t="s">
        <v>158</v>
      </c>
      <c r="B151" s="37" t="str">
        <f>VLOOKUP($A151,'Day-13 Clean Dataset'!$A:$I,2,FALSE)</f>
        <v>Sam Wilson</v>
      </c>
      <c r="C151" s="37" t="str">
        <f>VLOOKUP($A151,'Day-13 Clean Dataset'!$A:$I,3,FALSE)</f>
        <v>Marketing</v>
      </c>
      <c r="D151" s="37" t="str">
        <f>VLOOKUP($A151,'Day-13 Clean Dataset'!$A:$I,4,FALSE)</f>
        <v>India</v>
      </c>
      <c r="E151" s="37">
        <f>VLOOKUP($A151,'Day-13 Clean Dataset'!$A:$I,5,FALSE)</f>
        <v>98475</v>
      </c>
      <c r="F151" s="38">
        <f>VLOOKUP($A151,'Day-13 Clean Dataset'!$A:$I,6,FALSE)</f>
        <v>43051</v>
      </c>
      <c r="G151" s="37">
        <f>VLOOKUP($A151,'Day-13 Clean Dataset'!$A:$I,7,FALSE)</f>
        <v>5</v>
      </c>
      <c r="H151" s="37" t="str">
        <f>VLOOKUP($A151,'Day-13 Clean Dataset'!$A:$I,8,FALSE)</f>
        <v>Other</v>
      </c>
      <c r="I151" s="37" t="str">
        <f>VLOOKUP($A151,'Day-13 Clean Dataset'!$A:$I,9,FALSE)</f>
        <v>user30@example.com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C573-AB72-416A-BEB8-02E1F5323D80}">
  <sheetPr>
    <tabColor theme="8"/>
  </sheetPr>
  <dimension ref="H3:L8"/>
  <sheetViews>
    <sheetView workbookViewId="0">
      <selection activeCell="J7" sqref="J7"/>
    </sheetView>
  </sheetViews>
  <sheetFormatPr defaultRowHeight="14.4" x14ac:dyDescent="0.3"/>
  <cols>
    <col min="8" max="8" width="125.88671875" customWidth="1"/>
  </cols>
  <sheetData>
    <row r="3" spans="8:12" ht="30" customHeight="1" x14ac:dyDescent="0.3">
      <c r="H3" s="15" t="s">
        <v>395</v>
      </c>
      <c r="I3" s="29"/>
      <c r="J3" s="29"/>
      <c r="K3" s="29"/>
      <c r="L3" s="29"/>
    </row>
    <row r="4" spans="8:12" ht="30" customHeight="1" x14ac:dyDescent="0.3">
      <c r="H4" s="15" t="s">
        <v>408</v>
      </c>
      <c r="I4" s="7"/>
      <c r="J4" s="7"/>
      <c r="K4" s="7"/>
      <c r="L4" s="7"/>
    </row>
    <row r="5" spans="8:12" ht="30" customHeight="1" x14ac:dyDescent="0.3">
      <c r="H5" s="39" t="s">
        <v>409</v>
      </c>
    </row>
    <row r="6" spans="8:12" ht="30" customHeight="1" x14ac:dyDescent="0.3">
      <c r="H6" s="39" t="s">
        <v>410</v>
      </c>
    </row>
    <row r="7" spans="8:12" ht="30" customHeight="1" x14ac:dyDescent="0.3">
      <c r="H7" s="39" t="s">
        <v>411</v>
      </c>
    </row>
    <row r="8" spans="8:12" ht="30" customHeight="1" x14ac:dyDescent="0.3">
      <c r="H8" s="39" t="s">
        <v>412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5722-1B36-4296-8EA1-C63DF6E56B27}">
  <sheetPr>
    <tabColor rgb="FFFFC000"/>
  </sheetPr>
  <dimension ref="A1:I151"/>
  <sheetViews>
    <sheetView tabSelected="1" workbookViewId="0">
      <selection activeCell="K6" sqref="K6"/>
    </sheetView>
  </sheetViews>
  <sheetFormatPr defaultRowHeight="19.95" customHeight="1" x14ac:dyDescent="0.3"/>
  <cols>
    <col min="1" max="9" width="20.777343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37" t="s">
        <v>9</v>
      </c>
      <c r="B2" s="37" t="s">
        <v>178</v>
      </c>
      <c r="C2" s="37" t="str">
        <f>INDEX('Day-14 Related Table'!$B$2:$B$7,MATCH(A2,'Day-14 Related Table'!$A$2:$A$7,0))</f>
        <v>Finance</v>
      </c>
      <c r="D2" s="37" t="s">
        <v>178</v>
      </c>
      <c r="E2" s="37" t="s">
        <v>178</v>
      </c>
      <c r="F2" s="37" t="s">
        <v>178</v>
      </c>
      <c r="G2" s="37">
        <v>2</v>
      </c>
      <c r="H2" s="37" t="s">
        <v>178</v>
      </c>
      <c r="I2" s="37" t="s">
        <v>178</v>
      </c>
    </row>
    <row r="3" spans="1:9" ht="19.95" customHeight="1" x14ac:dyDescent="0.3">
      <c r="A3" s="37" t="s">
        <v>10</v>
      </c>
      <c r="B3" s="37" t="s">
        <v>159</v>
      </c>
      <c r="C3" s="37" t="str">
        <f>INDEX('Day-14 Related Table'!$B$2:$B$7,MATCH(A3,'Day-14 Related Table'!$A$2:$A$7,0))</f>
        <v>HR</v>
      </c>
      <c r="D3" s="37" t="s">
        <v>172</v>
      </c>
      <c r="E3" s="37">
        <v>54255</v>
      </c>
      <c r="F3" s="40">
        <v>42015</v>
      </c>
      <c r="G3" s="37">
        <v>1</v>
      </c>
      <c r="H3" s="37" t="s">
        <v>179</v>
      </c>
      <c r="I3" s="37" t="s">
        <v>183</v>
      </c>
    </row>
    <row r="4" spans="1:9" ht="19.95" customHeight="1" x14ac:dyDescent="0.3">
      <c r="A4" s="37" t="s">
        <v>11</v>
      </c>
      <c r="B4" s="37" t="s">
        <v>160</v>
      </c>
      <c r="C4" s="37" t="str">
        <f>INDEX('Day-14 Related Table'!$B$2:$B$7,MATCH(A4,'Day-14 Related Table'!$A$2:$A$7,0))</f>
        <v>Finance</v>
      </c>
      <c r="D4" s="37" t="s">
        <v>172</v>
      </c>
      <c r="E4" s="37">
        <v>63184</v>
      </c>
      <c r="F4" s="40">
        <v>42022</v>
      </c>
      <c r="G4" s="37">
        <v>2</v>
      </c>
      <c r="H4" s="37" t="s">
        <v>178</v>
      </c>
      <c r="I4" s="37" t="s">
        <v>184</v>
      </c>
    </row>
    <row r="5" spans="1:9" ht="19.95" customHeight="1" x14ac:dyDescent="0.3">
      <c r="A5" s="37" t="s">
        <v>12</v>
      </c>
      <c r="B5" s="37" t="s">
        <v>161</v>
      </c>
      <c r="C5" s="37" t="str">
        <f>INDEX('Day-14 Related Table'!$B$2:$B$7,MATCH(A5,'Day-14 Related Table'!$A$2:$A$7,0))</f>
        <v>Sales</v>
      </c>
      <c r="D5" s="37" t="s">
        <v>173</v>
      </c>
      <c r="E5" s="37">
        <v>94406</v>
      </c>
      <c r="F5" s="40">
        <v>42029</v>
      </c>
      <c r="G5" s="37">
        <v>1</v>
      </c>
      <c r="H5" s="37" t="s">
        <v>180</v>
      </c>
      <c r="I5" s="37" t="s">
        <v>185</v>
      </c>
    </row>
    <row r="6" spans="1:9" ht="19.95" customHeight="1" x14ac:dyDescent="0.3">
      <c r="A6" s="37" t="s">
        <v>13</v>
      </c>
      <c r="B6" s="37" t="s">
        <v>162</v>
      </c>
      <c r="C6" s="37" t="str">
        <f>INDEX('Day-14 Related Table'!$B$2:$B$7,MATCH(A6,'Day-14 Related Table'!$A$2:$A$7,0))</f>
        <v>Sales</v>
      </c>
      <c r="D6" s="37" t="s">
        <v>172</v>
      </c>
      <c r="E6" s="37">
        <v>64120</v>
      </c>
      <c r="F6" s="40">
        <v>42036</v>
      </c>
      <c r="G6" s="37">
        <v>1</v>
      </c>
      <c r="H6" s="37" t="s">
        <v>180</v>
      </c>
      <c r="I6" s="37" t="s">
        <v>186</v>
      </c>
    </row>
    <row r="7" spans="1:9" ht="19.95" customHeight="1" x14ac:dyDescent="0.3">
      <c r="A7" s="37" t="s">
        <v>14</v>
      </c>
      <c r="B7" s="37" t="s">
        <v>160</v>
      </c>
      <c r="C7" s="37" t="str">
        <f>INDEX('Day-14 Related Table'!$B$2:$B$7,MATCH(A7,'Day-14 Related Table'!$A$2:$A$7,0))</f>
        <v>IT</v>
      </c>
      <c r="D7" s="37" t="s">
        <v>174</v>
      </c>
      <c r="E7" s="37">
        <v>78421</v>
      </c>
      <c r="F7" s="40">
        <v>42043</v>
      </c>
      <c r="G7" s="37">
        <v>2</v>
      </c>
      <c r="H7" s="37" t="s">
        <v>181</v>
      </c>
      <c r="I7" s="37" t="s">
        <v>187</v>
      </c>
    </row>
    <row r="8" spans="1:9" ht="19.95" customHeight="1" x14ac:dyDescent="0.3">
      <c r="A8" s="37" t="s">
        <v>15</v>
      </c>
      <c r="B8" s="37" t="s">
        <v>163</v>
      </c>
      <c r="C8" s="37" t="s">
        <v>168</v>
      </c>
      <c r="D8" s="37" t="s">
        <v>178</v>
      </c>
      <c r="E8" s="37">
        <v>67721</v>
      </c>
      <c r="F8" s="40">
        <v>42050</v>
      </c>
      <c r="G8" s="37" t="s">
        <v>178</v>
      </c>
      <c r="H8" s="37" t="s">
        <v>180</v>
      </c>
      <c r="I8" s="37" t="s">
        <v>185</v>
      </c>
    </row>
    <row r="9" spans="1:9" ht="19.95" customHeight="1" x14ac:dyDescent="0.3">
      <c r="A9" s="37" t="s">
        <v>16</v>
      </c>
      <c r="B9" s="37" t="s">
        <v>164</v>
      </c>
      <c r="C9" s="37" t="s">
        <v>170</v>
      </c>
      <c r="D9" s="37" t="s">
        <v>178</v>
      </c>
      <c r="E9" s="37">
        <v>35364</v>
      </c>
      <c r="F9" s="40">
        <v>42057</v>
      </c>
      <c r="G9" s="37">
        <v>2</v>
      </c>
      <c r="H9" s="37" t="s">
        <v>179</v>
      </c>
      <c r="I9" s="37" t="s">
        <v>188</v>
      </c>
    </row>
    <row r="10" spans="1:9" ht="19.95" customHeight="1" x14ac:dyDescent="0.3">
      <c r="A10" s="37" t="s">
        <v>17</v>
      </c>
      <c r="B10" s="37" t="s">
        <v>160</v>
      </c>
      <c r="C10" s="37" t="s">
        <v>169</v>
      </c>
      <c r="D10" s="37" t="s">
        <v>172</v>
      </c>
      <c r="E10" s="37">
        <v>97881</v>
      </c>
      <c r="F10" s="40">
        <v>42064</v>
      </c>
      <c r="G10" s="37" t="s">
        <v>178</v>
      </c>
      <c r="H10" s="37" t="s">
        <v>181</v>
      </c>
      <c r="I10" s="37" t="s">
        <v>189</v>
      </c>
    </row>
    <row r="11" spans="1:9" ht="19.95" customHeight="1" x14ac:dyDescent="0.3">
      <c r="A11" s="37" t="s">
        <v>18</v>
      </c>
      <c r="B11" s="37" t="s">
        <v>164</v>
      </c>
      <c r="C11" s="37" t="s">
        <v>167</v>
      </c>
      <c r="D11" s="37" t="s">
        <v>175</v>
      </c>
      <c r="E11" s="37">
        <v>91846</v>
      </c>
      <c r="F11" s="40">
        <v>42071</v>
      </c>
      <c r="G11" s="37" t="s">
        <v>178</v>
      </c>
      <c r="H11" s="37" t="s">
        <v>180</v>
      </c>
      <c r="I11" s="37" t="s">
        <v>190</v>
      </c>
    </row>
    <row r="12" spans="1:9" ht="19.95" customHeight="1" x14ac:dyDescent="0.3">
      <c r="A12" s="37" t="s">
        <v>19</v>
      </c>
      <c r="B12" s="37" t="s">
        <v>163</v>
      </c>
      <c r="C12" s="37" t="s">
        <v>166</v>
      </c>
      <c r="D12" s="37" t="s">
        <v>175</v>
      </c>
      <c r="E12" s="37">
        <v>64247</v>
      </c>
      <c r="F12" s="40">
        <v>42078</v>
      </c>
      <c r="G12" s="37">
        <v>1</v>
      </c>
      <c r="H12" s="37" t="s">
        <v>181</v>
      </c>
      <c r="I12" s="37" t="s">
        <v>191</v>
      </c>
    </row>
    <row r="13" spans="1:9" ht="19.95" customHeight="1" x14ac:dyDescent="0.3">
      <c r="A13" s="37" t="s">
        <v>20</v>
      </c>
      <c r="B13" s="37" t="s">
        <v>163</v>
      </c>
      <c r="C13" s="37" t="s">
        <v>169</v>
      </c>
      <c r="D13" s="37" t="s">
        <v>173</v>
      </c>
      <c r="E13" s="37">
        <v>91180</v>
      </c>
      <c r="F13" s="40">
        <v>42085</v>
      </c>
      <c r="G13" s="37">
        <v>5</v>
      </c>
      <c r="H13" s="37" t="s">
        <v>180</v>
      </c>
      <c r="I13" s="37" t="s">
        <v>192</v>
      </c>
    </row>
    <row r="14" spans="1:9" ht="19.95" customHeight="1" x14ac:dyDescent="0.3">
      <c r="A14" s="37" t="s">
        <v>21</v>
      </c>
      <c r="B14" s="37" t="s">
        <v>165</v>
      </c>
      <c r="C14" s="37" t="s">
        <v>168</v>
      </c>
      <c r="D14" s="37" t="s">
        <v>178</v>
      </c>
      <c r="E14" s="37">
        <v>96418</v>
      </c>
      <c r="F14" s="40">
        <v>42092</v>
      </c>
      <c r="G14" s="37">
        <v>5</v>
      </c>
      <c r="H14" s="37" t="s">
        <v>180</v>
      </c>
      <c r="I14" s="37" t="s">
        <v>183</v>
      </c>
    </row>
    <row r="15" spans="1:9" ht="19.95" customHeight="1" x14ac:dyDescent="0.3">
      <c r="A15" s="37" t="s">
        <v>22</v>
      </c>
      <c r="B15" s="37" t="s">
        <v>163</v>
      </c>
      <c r="C15" s="37" t="s">
        <v>178</v>
      </c>
      <c r="D15" s="37" t="s">
        <v>174</v>
      </c>
      <c r="E15" s="37">
        <v>62158</v>
      </c>
      <c r="F15" s="40">
        <v>42099</v>
      </c>
      <c r="G15" s="37">
        <v>4</v>
      </c>
      <c r="H15" s="37" t="s">
        <v>178</v>
      </c>
      <c r="I15" s="37" t="s">
        <v>193</v>
      </c>
    </row>
    <row r="16" spans="1:9" ht="19.95" customHeight="1" x14ac:dyDescent="0.3">
      <c r="A16" s="37" t="s">
        <v>23</v>
      </c>
      <c r="B16" s="37" t="s">
        <v>162</v>
      </c>
      <c r="C16" s="37" t="s">
        <v>167</v>
      </c>
      <c r="D16" s="37" t="s">
        <v>178</v>
      </c>
      <c r="E16" s="37">
        <v>59894</v>
      </c>
      <c r="F16" s="40">
        <v>42106</v>
      </c>
      <c r="G16" s="37">
        <v>2</v>
      </c>
      <c r="H16" s="37" t="s">
        <v>180</v>
      </c>
      <c r="I16" s="37" t="s">
        <v>194</v>
      </c>
    </row>
    <row r="17" spans="1:9" ht="19.95" customHeight="1" x14ac:dyDescent="0.3">
      <c r="A17" s="37" t="s">
        <v>24</v>
      </c>
      <c r="B17" s="37" t="s">
        <v>178</v>
      </c>
      <c r="C17" s="37" t="s">
        <v>169</v>
      </c>
      <c r="D17" s="37" t="s">
        <v>174</v>
      </c>
      <c r="E17" s="37">
        <v>92443</v>
      </c>
      <c r="F17" s="40">
        <v>42113</v>
      </c>
      <c r="G17" s="37">
        <v>3</v>
      </c>
      <c r="H17" s="37" t="s">
        <v>179</v>
      </c>
      <c r="I17" s="37" t="s">
        <v>195</v>
      </c>
    </row>
    <row r="18" spans="1:9" ht="19.95" customHeight="1" x14ac:dyDescent="0.3">
      <c r="A18" s="37" t="s">
        <v>25</v>
      </c>
      <c r="B18" s="37" t="s">
        <v>165</v>
      </c>
      <c r="C18" s="37" t="s">
        <v>178</v>
      </c>
      <c r="D18" s="37" t="s">
        <v>172</v>
      </c>
      <c r="E18" s="37">
        <v>90271</v>
      </c>
      <c r="F18" s="40">
        <v>42120</v>
      </c>
      <c r="G18" s="37" t="s">
        <v>178</v>
      </c>
      <c r="H18" s="37" t="s">
        <v>178</v>
      </c>
      <c r="I18" s="37" t="s">
        <v>196</v>
      </c>
    </row>
    <row r="19" spans="1:9" ht="19.95" customHeight="1" x14ac:dyDescent="0.3">
      <c r="A19" s="37" t="s">
        <v>26</v>
      </c>
      <c r="B19" s="37" t="s">
        <v>162</v>
      </c>
      <c r="C19" s="37" t="s">
        <v>166</v>
      </c>
      <c r="D19" s="37" t="s">
        <v>176</v>
      </c>
      <c r="E19" s="37">
        <v>41341</v>
      </c>
      <c r="F19" s="40">
        <v>42127</v>
      </c>
      <c r="G19" s="37">
        <v>1</v>
      </c>
      <c r="H19" s="37" t="s">
        <v>179</v>
      </c>
      <c r="I19" s="37" t="s">
        <v>197</v>
      </c>
    </row>
    <row r="20" spans="1:9" ht="19.95" customHeight="1" x14ac:dyDescent="0.3">
      <c r="A20" s="37" t="s">
        <v>27</v>
      </c>
      <c r="B20" s="37" t="s">
        <v>160</v>
      </c>
      <c r="C20" s="37" t="s">
        <v>166</v>
      </c>
      <c r="D20" s="37" t="s">
        <v>175</v>
      </c>
      <c r="E20" s="37">
        <v>73602</v>
      </c>
      <c r="F20" s="40">
        <v>42134</v>
      </c>
      <c r="G20" s="37" t="s">
        <v>178</v>
      </c>
      <c r="H20" s="37" t="s">
        <v>178</v>
      </c>
      <c r="I20" s="37" t="s">
        <v>198</v>
      </c>
    </row>
    <row r="21" spans="1:9" ht="19.95" customHeight="1" x14ac:dyDescent="0.3">
      <c r="A21" s="37" t="s">
        <v>28</v>
      </c>
      <c r="B21" s="37" t="s">
        <v>159</v>
      </c>
      <c r="C21" s="37" t="s">
        <v>178</v>
      </c>
      <c r="D21" s="37" t="s">
        <v>174</v>
      </c>
      <c r="E21" s="37">
        <v>67531</v>
      </c>
      <c r="F21" s="40">
        <v>42141</v>
      </c>
      <c r="G21" s="37">
        <v>5</v>
      </c>
      <c r="H21" s="37" t="s">
        <v>181</v>
      </c>
      <c r="I21" s="37" t="s">
        <v>199</v>
      </c>
    </row>
    <row r="22" spans="1:9" ht="19.95" customHeight="1" x14ac:dyDescent="0.3">
      <c r="A22" s="37" t="s">
        <v>29</v>
      </c>
      <c r="B22" s="37" t="s">
        <v>162</v>
      </c>
      <c r="C22" s="37" t="s">
        <v>167</v>
      </c>
      <c r="D22" s="37" t="s">
        <v>173</v>
      </c>
      <c r="E22" s="37" t="s">
        <v>178</v>
      </c>
      <c r="F22" s="40">
        <v>42148</v>
      </c>
      <c r="G22" s="37">
        <v>2</v>
      </c>
      <c r="H22" s="37" t="s">
        <v>179</v>
      </c>
      <c r="I22" s="37" t="s">
        <v>200</v>
      </c>
    </row>
    <row r="23" spans="1:9" ht="19.95" customHeight="1" x14ac:dyDescent="0.3">
      <c r="A23" s="37" t="s">
        <v>30</v>
      </c>
      <c r="B23" s="37" t="s">
        <v>162</v>
      </c>
      <c r="C23" s="37" t="s">
        <v>167</v>
      </c>
      <c r="D23" s="37" t="s">
        <v>178</v>
      </c>
      <c r="E23" s="37">
        <v>98922</v>
      </c>
      <c r="F23" s="40">
        <v>42155</v>
      </c>
      <c r="G23" s="37">
        <v>4</v>
      </c>
      <c r="H23" s="37" t="s">
        <v>178</v>
      </c>
      <c r="I23" s="37" t="s">
        <v>201</v>
      </c>
    </row>
    <row r="24" spans="1:9" ht="19.95" customHeight="1" x14ac:dyDescent="0.3">
      <c r="A24" s="37" t="s">
        <v>31</v>
      </c>
      <c r="B24" s="37" t="s">
        <v>159</v>
      </c>
      <c r="C24" s="37" t="s">
        <v>166</v>
      </c>
      <c r="D24" s="37" t="s">
        <v>174</v>
      </c>
      <c r="E24" s="37">
        <v>38333</v>
      </c>
      <c r="F24" s="40">
        <v>42162</v>
      </c>
      <c r="G24" s="37">
        <v>5</v>
      </c>
      <c r="H24" s="37" t="s">
        <v>178</v>
      </c>
      <c r="I24" s="37" t="s">
        <v>202</v>
      </c>
    </row>
    <row r="25" spans="1:9" ht="19.95" customHeight="1" x14ac:dyDescent="0.3">
      <c r="A25" s="37" t="s">
        <v>32</v>
      </c>
      <c r="B25" s="37" t="s">
        <v>160</v>
      </c>
      <c r="C25" s="37" t="s">
        <v>170</v>
      </c>
      <c r="D25" s="37" t="s">
        <v>175</v>
      </c>
      <c r="E25" s="37">
        <v>36515</v>
      </c>
      <c r="F25" s="40">
        <v>42169</v>
      </c>
      <c r="G25" s="37">
        <v>3</v>
      </c>
      <c r="H25" s="37" t="s">
        <v>180</v>
      </c>
      <c r="I25" s="37" t="s">
        <v>203</v>
      </c>
    </row>
    <row r="26" spans="1:9" ht="19.95" customHeight="1" x14ac:dyDescent="0.3">
      <c r="A26" s="37" t="s">
        <v>33</v>
      </c>
      <c r="B26" s="37" t="s">
        <v>163</v>
      </c>
      <c r="C26" s="37" t="s">
        <v>166</v>
      </c>
      <c r="D26" s="37" t="s">
        <v>178</v>
      </c>
      <c r="E26" s="37">
        <v>91005</v>
      </c>
      <c r="F26" s="40">
        <v>42176</v>
      </c>
      <c r="G26" s="37">
        <v>1</v>
      </c>
      <c r="H26" s="37" t="s">
        <v>179</v>
      </c>
      <c r="I26" s="37" t="s">
        <v>204</v>
      </c>
    </row>
    <row r="27" spans="1:9" ht="19.95" customHeight="1" x14ac:dyDescent="0.3">
      <c r="A27" s="37" t="s">
        <v>34</v>
      </c>
      <c r="B27" s="37" t="s">
        <v>164</v>
      </c>
      <c r="C27" s="37" t="s">
        <v>178</v>
      </c>
      <c r="D27" s="37" t="s">
        <v>178</v>
      </c>
      <c r="E27" s="37">
        <v>52272</v>
      </c>
      <c r="F27" s="40">
        <v>42183</v>
      </c>
      <c r="G27" s="37">
        <v>3</v>
      </c>
      <c r="H27" s="37" t="s">
        <v>178</v>
      </c>
      <c r="I27" s="37" t="s">
        <v>205</v>
      </c>
    </row>
    <row r="28" spans="1:9" ht="19.95" customHeight="1" x14ac:dyDescent="0.3">
      <c r="A28" s="37" t="s">
        <v>35</v>
      </c>
      <c r="B28" s="37" t="s">
        <v>159</v>
      </c>
      <c r="C28" s="37" t="s">
        <v>168</v>
      </c>
      <c r="D28" s="37" t="s">
        <v>172</v>
      </c>
      <c r="E28" s="37">
        <v>76518</v>
      </c>
      <c r="F28" s="40">
        <v>42190</v>
      </c>
      <c r="G28" s="37">
        <v>2</v>
      </c>
      <c r="H28" s="37" t="s">
        <v>181</v>
      </c>
      <c r="I28" s="37" t="s">
        <v>206</v>
      </c>
    </row>
    <row r="29" spans="1:9" ht="19.95" customHeight="1" x14ac:dyDescent="0.3">
      <c r="A29" s="37" t="s">
        <v>36</v>
      </c>
      <c r="B29" s="37" t="s">
        <v>160</v>
      </c>
      <c r="C29" s="37" t="s">
        <v>169</v>
      </c>
      <c r="D29" s="37" t="s">
        <v>175</v>
      </c>
      <c r="E29" s="37">
        <v>41448</v>
      </c>
      <c r="F29" s="40">
        <v>42197</v>
      </c>
      <c r="G29" s="37">
        <v>3</v>
      </c>
      <c r="H29" s="37" t="s">
        <v>179</v>
      </c>
      <c r="I29" s="37" t="s">
        <v>207</v>
      </c>
    </row>
    <row r="30" spans="1:9" ht="19.95" customHeight="1" x14ac:dyDescent="0.3">
      <c r="A30" s="37" t="s">
        <v>37</v>
      </c>
      <c r="B30" s="37" t="s">
        <v>161</v>
      </c>
      <c r="C30" s="37" t="s">
        <v>167</v>
      </c>
      <c r="D30" s="37" t="s">
        <v>175</v>
      </c>
      <c r="E30" s="37">
        <v>49282</v>
      </c>
      <c r="F30" s="40">
        <v>42204</v>
      </c>
      <c r="G30" s="37">
        <v>2</v>
      </c>
      <c r="H30" s="37" t="s">
        <v>181</v>
      </c>
      <c r="I30" s="37" t="s">
        <v>208</v>
      </c>
    </row>
    <row r="31" spans="1:9" ht="19.95" customHeight="1" x14ac:dyDescent="0.3">
      <c r="A31" s="37" t="s">
        <v>38</v>
      </c>
      <c r="B31" s="37" t="s">
        <v>165</v>
      </c>
      <c r="C31" s="37" t="s">
        <v>170</v>
      </c>
      <c r="D31" s="37" t="s">
        <v>175</v>
      </c>
      <c r="E31" s="37">
        <v>92959</v>
      </c>
      <c r="F31" s="40">
        <v>42211</v>
      </c>
      <c r="G31" s="37">
        <v>5</v>
      </c>
      <c r="H31" s="37" t="s">
        <v>178</v>
      </c>
      <c r="I31" s="37" t="s">
        <v>209</v>
      </c>
    </row>
    <row r="32" spans="1:9" ht="19.95" customHeight="1" x14ac:dyDescent="0.3">
      <c r="A32" s="37" t="s">
        <v>39</v>
      </c>
      <c r="B32" s="37" t="s">
        <v>178</v>
      </c>
      <c r="C32" s="37" t="s">
        <v>170</v>
      </c>
      <c r="D32" s="37" t="s">
        <v>178</v>
      </c>
      <c r="E32" s="37">
        <v>92259</v>
      </c>
      <c r="F32" s="37" t="s">
        <v>178</v>
      </c>
      <c r="G32" s="37">
        <v>1</v>
      </c>
      <c r="H32" s="37" t="s">
        <v>178</v>
      </c>
      <c r="I32" s="37" t="s">
        <v>210</v>
      </c>
    </row>
    <row r="33" spans="1:9" ht="19.95" customHeight="1" x14ac:dyDescent="0.3">
      <c r="A33" s="37" t="s">
        <v>40</v>
      </c>
      <c r="B33" s="37" t="s">
        <v>159</v>
      </c>
      <c r="C33" s="37" t="s">
        <v>167</v>
      </c>
      <c r="D33" s="37" t="s">
        <v>172</v>
      </c>
      <c r="E33" s="37">
        <v>92299</v>
      </c>
      <c r="F33" s="40">
        <v>42225</v>
      </c>
      <c r="G33" s="37">
        <v>3</v>
      </c>
      <c r="H33" s="37" t="s">
        <v>180</v>
      </c>
      <c r="I33" s="37" t="s">
        <v>211</v>
      </c>
    </row>
    <row r="34" spans="1:9" ht="19.95" customHeight="1" x14ac:dyDescent="0.3">
      <c r="A34" s="37" t="s">
        <v>41</v>
      </c>
      <c r="B34" s="37" t="s">
        <v>163</v>
      </c>
      <c r="C34" s="37" t="s">
        <v>167</v>
      </c>
      <c r="D34" s="37" t="s">
        <v>178</v>
      </c>
      <c r="E34" s="37">
        <v>95586</v>
      </c>
      <c r="F34" s="40">
        <v>42232</v>
      </c>
      <c r="G34" s="37">
        <v>3</v>
      </c>
      <c r="H34" s="37" t="s">
        <v>179</v>
      </c>
      <c r="I34" s="37" t="s">
        <v>212</v>
      </c>
    </row>
    <row r="35" spans="1:9" ht="19.95" customHeight="1" x14ac:dyDescent="0.3">
      <c r="A35" s="37" t="s">
        <v>42</v>
      </c>
      <c r="B35" s="37" t="s">
        <v>164</v>
      </c>
      <c r="C35" s="37" t="s">
        <v>178</v>
      </c>
      <c r="D35" s="37" t="s">
        <v>173</v>
      </c>
      <c r="E35" s="37">
        <v>95367</v>
      </c>
      <c r="F35" s="40">
        <v>42239</v>
      </c>
      <c r="G35" s="37" t="s">
        <v>178</v>
      </c>
      <c r="H35" s="37" t="s">
        <v>180</v>
      </c>
      <c r="I35" s="37" t="s">
        <v>213</v>
      </c>
    </row>
    <row r="36" spans="1:9" ht="19.95" customHeight="1" x14ac:dyDescent="0.3">
      <c r="A36" s="37" t="s">
        <v>43</v>
      </c>
      <c r="B36" s="37" t="s">
        <v>161</v>
      </c>
      <c r="C36" s="37" t="s">
        <v>168</v>
      </c>
      <c r="D36" s="37" t="s">
        <v>176</v>
      </c>
      <c r="E36" s="37">
        <v>79549</v>
      </c>
      <c r="F36" s="40">
        <v>42246</v>
      </c>
      <c r="G36" s="37">
        <v>3</v>
      </c>
      <c r="H36" s="37" t="s">
        <v>178</v>
      </c>
      <c r="I36" s="37" t="s">
        <v>214</v>
      </c>
    </row>
    <row r="37" spans="1:9" ht="19.95" customHeight="1" x14ac:dyDescent="0.3">
      <c r="A37" s="37" t="s">
        <v>44</v>
      </c>
      <c r="B37" s="37" t="s">
        <v>160</v>
      </c>
      <c r="C37" s="37" t="s">
        <v>178</v>
      </c>
      <c r="D37" s="37" t="s">
        <v>175</v>
      </c>
      <c r="E37" s="37">
        <v>54463</v>
      </c>
      <c r="F37" s="40">
        <v>42253</v>
      </c>
      <c r="G37" s="37">
        <v>4</v>
      </c>
      <c r="H37" s="37" t="s">
        <v>180</v>
      </c>
      <c r="I37" s="37" t="s">
        <v>178</v>
      </c>
    </row>
    <row r="38" spans="1:9" ht="19.95" customHeight="1" x14ac:dyDescent="0.3">
      <c r="A38" s="37" t="s">
        <v>45</v>
      </c>
      <c r="B38" s="37" t="s">
        <v>160</v>
      </c>
      <c r="C38" s="37" t="s">
        <v>169</v>
      </c>
      <c r="D38" s="37" t="s">
        <v>173</v>
      </c>
      <c r="E38" s="37">
        <v>89781</v>
      </c>
      <c r="F38" s="40">
        <v>42260</v>
      </c>
      <c r="G38" s="37" t="s">
        <v>178</v>
      </c>
      <c r="H38" s="37" t="s">
        <v>181</v>
      </c>
      <c r="I38" s="37" t="s">
        <v>215</v>
      </c>
    </row>
    <row r="39" spans="1:9" ht="19.95" customHeight="1" x14ac:dyDescent="0.3">
      <c r="A39" s="37" t="s">
        <v>46</v>
      </c>
      <c r="B39" s="37" t="s">
        <v>160</v>
      </c>
      <c r="C39" s="37" t="s">
        <v>167</v>
      </c>
      <c r="D39" s="37" t="s">
        <v>178</v>
      </c>
      <c r="E39" s="37">
        <v>64796</v>
      </c>
      <c r="F39" s="40">
        <v>42267</v>
      </c>
      <c r="G39" s="37" t="s">
        <v>178</v>
      </c>
      <c r="H39" s="37" t="s">
        <v>179</v>
      </c>
      <c r="I39" s="37" t="s">
        <v>216</v>
      </c>
    </row>
    <row r="40" spans="1:9" ht="19.95" customHeight="1" x14ac:dyDescent="0.3">
      <c r="A40" s="37" t="s">
        <v>47</v>
      </c>
      <c r="B40" s="37" t="s">
        <v>161</v>
      </c>
      <c r="C40" s="37" t="s">
        <v>170</v>
      </c>
      <c r="D40" s="37" t="s">
        <v>175</v>
      </c>
      <c r="E40" s="37">
        <v>52093</v>
      </c>
      <c r="F40" s="40">
        <v>42274</v>
      </c>
      <c r="G40" s="37">
        <v>5</v>
      </c>
      <c r="H40" s="37" t="s">
        <v>178</v>
      </c>
      <c r="I40" s="37" t="s">
        <v>217</v>
      </c>
    </row>
    <row r="41" spans="1:9" ht="19.95" customHeight="1" x14ac:dyDescent="0.3">
      <c r="A41" s="37" t="s">
        <v>48</v>
      </c>
      <c r="B41" s="37" t="s">
        <v>164</v>
      </c>
      <c r="C41" s="37" t="s">
        <v>167</v>
      </c>
      <c r="D41" s="37" t="s">
        <v>175</v>
      </c>
      <c r="E41" s="37">
        <v>48224</v>
      </c>
      <c r="F41" s="40">
        <v>42281</v>
      </c>
      <c r="G41" s="37">
        <v>3</v>
      </c>
      <c r="H41" s="37" t="s">
        <v>178</v>
      </c>
      <c r="I41" s="37" t="s">
        <v>218</v>
      </c>
    </row>
    <row r="42" spans="1:9" ht="19.95" customHeight="1" x14ac:dyDescent="0.3">
      <c r="A42" s="37" t="s">
        <v>49</v>
      </c>
      <c r="B42" s="37" t="s">
        <v>165</v>
      </c>
      <c r="C42" s="37" t="s">
        <v>166</v>
      </c>
      <c r="D42" s="37" t="s">
        <v>175</v>
      </c>
      <c r="E42" s="37" t="s">
        <v>178</v>
      </c>
      <c r="F42" s="37" t="s">
        <v>178</v>
      </c>
      <c r="G42" s="37">
        <v>4</v>
      </c>
      <c r="H42" s="37" t="s">
        <v>181</v>
      </c>
      <c r="I42" s="37" t="s">
        <v>219</v>
      </c>
    </row>
    <row r="43" spans="1:9" ht="19.95" customHeight="1" x14ac:dyDescent="0.3">
      <c r="A43" s="37" t="s">
        <v>50</v>
      </c>
      <c r="B43" s="37" t="s">
        <v>160</v>
      </c>
      <c r="C43" s="37" t="s">
        <v>169</v>
      </c>
      <c r="D43" s="37" t="s">
        <v>172</v>
      </c>
      <c r="E43" s="37">
        <v>33956</v>
      </c>
      <c r="F43" s="40">
        <v>42295</v>
      </c>
      <c r="G43" s="37" t="s">
        <v>178</v>
      </c>
      <c r="H43" s="37" t="s">
        <v>178</v>
      </c>
      <c r="I43" s="37" t="s">
        <v>220</v>
      </c>
    </row>
    <row r="44" spans="1:9" ht="19.95" customHeight="1" x14ac:dyDescent="0.3">
      <c r="A44" s="37" t="s">
        <v>51</v>
      </c>
      <c r="B44" s="37" t="s">
        <v>165</v>
      </c>
      <c r="C44" s="37" t="s">
        <v>178</v>
      </c>
      <c r="D44" s="37" t="s">
        <v>176</v>
      </c>
      <c r="E44" s="37">
        <v>64913</v>
      </c>
      <c r="F44" s="40">
        <v>42302</v>
      </c>
      <c r="G44" s="37">
        <v>1</v>
      </c>
      <c r="H44" s="37" t="s">
        <v>181</v>
      </c>
      <c r="I44" s="37" t="s">
        <v>221</v>
      </c>
    </row>
    <row r="45" spans="1:9" ht="19.95" customHeight="1" x14ac:dyDescent="0.3">
      <c r="A45" s="37" t="s">
        <v>52</v>
      </c>
      <c r="B45" s="37" t="s">
        <v>160</v>
      </c>
      <c r="C45" s="37" t="s">
        <v>170</v>
      </c>
      <c r="D45" s="37" t="s">
        <v>176</v>
      </c>
      <c r="E45" s="37">
        <v>35326</v>
      </c>
      <c r="F45" s="40">
        <v>42309</v>
      </c>
      <c r="G45" s="37" t="s">
        <v>178</v>
      </c>
      <c r="H45" s="37" t="s">
        <v>181</v>
      </c>
      <c r="I45" s="37" t="s">
        <v>222</v>
      </c>
    </row>
    <row r="46" spans="1:9" ht="19.95" customHeight="1" x14ac:dyDescent="0.3">
      <c r="A46" s="37" t="s">
        <v>53</v>
      </c>
      <c r="B46" s="37" t="s">
        <v>164</v>
      </c>
      <c r="C46" s="37" t="s">
        <v>166</v>
      </c>
      <c r="D46" s="37" t="s">
        <v>178</v>
      </c>
      <c r="E46" s="37">
        <v>81610</v>
      </c>
      <c r="F46" s="40">
        <v>42316</v>
      </c>
      <c r="G46" s="37">
        <v>1</v>
      </c>
      <c r="H46" s="37" t="s">
        <v>178</v>
      </c>
      <c r="I46" s="37" t="s">
        <v>223</v>
      </c>
    </row>
    <row r="47" spans="1:9" ht="19.95" customHeight="1" x14ac:dyDescent="0.3">
      <c r="A47" s="37" t="s">
        <v>54</v>
      </c>
      <c r="B47" s="37" t="s">
        <v>178</v>
      </c>
      <c r="C47" s="37" t="s">
        <v>167</v>
      </c>
      <c r="D47" s="37" t="s">
        <v>178</v>
      </c>
      <c r="E47" s="37">
        <v>58962</v>
      </c>
      <c r="F47" s="40">
        <v>42323</v>
      </c>
      <c r="G47" s="37">
        <v>3</v>
      </c>
      <c r="H47" s="37" t="s">
        <v>179</v>
      </c>
      <c r="I47" s="37" t="s">
        <v>183</v>
      </c>
    </row>
    <row r="48" spans="1:9" ht="19.95" customHeight="1" x14ac:dyDescent="0.3">
      <c r="A48" s="37" t="s">
        <v>55</v>
      </c>
      <c r="B48" s="37" t="s">
        <v>164</v>
      </c>
      <c r="C48" s="37" t="s">
        <v>169</v>
      </c>
      <c r="D48" s="37" t="s">
        <v>172</v>
      </c>
      <c r="E48" s="37">
        <v>92701</v>
      </c>
      <c r="F48" s="40">
        <v>42330</v>
      </c>
      <c r="G48" s="37">
        <v>3</v>
      </c>
      <c r="H48" s="37" t="s">
        <v>179</v>
      </c>
      <c r="I48" s="37" t="s">
        <v>224</v>
      </c>
    </row>
    <row r="49" spans="1:9" ht="19.95" customHeight="1" x14ac:dyDescent="0.3">
      <c r="A49" s="37" t="s">
        <v>56</v>
      </c>
      <c r="B49" s="37" t="s">
        <v>164</v>
      </c>
      <c r="C49" s="37" t="s">
        <v>167</v>
      </c>
      <c r="D49" s="37" t="s">
        <v>174</v>
      </c>
      <c r="E49" s="37">
        <v>58245</v>
      </c>
      <c r="F49" s="40">
        <v>42337</v>
      </c>
      <c r="G49" s="37">
        <v>4</v>
      </c>
      <c r="H49" s="37" t="s">
        <v>178</v>
      </c>
      <c r="I49" s="37" t="s">
        <v>225</v>
      </c>
    </row>
    <row r="50" spans="1:9" ht="19.95" customHeight="1" x14ac:dyDescent="0.3">
      <c r="A50" s="37" t="s">
        <v>57</v>
      </c>
      <c r="B50" s="37" t="s">
        <v>161</v>
      </c>
      <c r="C50" s="37" t="s">
        <v>166</v>
      </c>
      <c r="D50" s="37" t="s">
        <v>178</v>
      </c>
      <c r="E50" s="37">
        <v>66513</v>
      </c>
      <c r="F50" s="40">
        <v>42344</v>
      </c>
      <c r="G50" s="37">
        <v>2</v>
      </c>
      <c r="H50" s="37" t="s">
        <v>179</v>
      </c>
      <c r="I50" s="37" t="s">
        <v>187</v>
      </c>
    </row>
    <row r="51" spans="1:9" ht="19.95" customHeight="1" x14ac:dyDescent="0.3">
      <c r="A51" s="37" t="s">
        <v>58</v>
      </c>
      <c r="B51" s="37" t="s">
        <v>159</v>
      </c>
      <c r="C51" s="37" t="s">
        <v>167</v>
      </c>
      <c r="D51" s="37" t="s">
        <v>172</v>
      </c>
      <c r="E51" s="37">
        <v>78720</v>
      </c>
      <c r="F51" s="40">
        <v>42351</v>
      </c>
      <c r="G51" s="37">
        <v>5</v>
      </c>
      <c r="H51" s="37" t="s">
        <v>181</v>
      </c>
      <c r="I51" s="37" t="s">
        <v>219</v>
      </c>
    </row>
    <row r="52" spans="1:9" ht="19.95" customHeight="1" x14ac:dyDescent="0.3">
      <c r="A52" s="37" t="s">
        <v>59</v>
      </c>
      <c r="B52" s="37" t="s">
        <v>164</v>
      </c>
      <c r="C52" s="37" t="s">
        <v>178</v>
      </c>
      <c r="D52" s="37" t="s">
        <v>178</v>
      </c>
      <c r="E52" s="37">
        <v>30686</v>
      </c>
      <c r="F52" s="37" t="s">
        <v>178</v>
      </c>
      <c r="G52" s="37">
        <v>2</v>
      </c>
      <c r="H52" s="37" t="s">
        <v>181</v>
      </c>
      <c r="I52" s="37" t="s">
        <v>226</v>
      </c>
    </row>
    <row r="53" spans="1:9" ht="19.95" customHeight="1" x14ac:dyDescent="0.3">
      <c r="A53" s="37" t="s">
        <v>60</v>
      </c>
      <c r="B53" s="37" t="s">
        <v>163</v>
      </c>
      <c r="C53" s="37" t="s">
        <v>168</v>
      </c>
      <c r="D53" s="37" t="s">
        <v>174</v>
      </c>
      <c r="E53" s="37">
        <v>39423</v>
      </c>
      <c r="F53" s="40">
        <v>42365</v>
      </c>
      <c r="G53" s="37">
        <v>5</v>
      </c>
      <c r="H53" s="37" t="s">
        <v>178</v>
      </c>
      <c r="I53" s="37" t="s">
        <v>227</v>
      </c>
    </row>
    <row r="54" spans="1:9" ht="19.95" customHeight="1" x14ac:dyDescent="0.3">
      <c r="A54" s="37" t="s">
        <v>61</v>
      </c>
      <c r="B54" s="37" t="s">
        <v>159</v>
      </c>
      <c r="C54" s="37" t="s">
        <v>170</v>
      </c>
      <c r="D54" s="37" t="s">
        <v>178</v>
      </c>
      <c r="E54" s="37">
        <v>30280</v>
      </c>
      <c r="F54" s="40">
        <v>42372</v>
      </c>
      <c r="G54" s="37">
        <v>1</v>
      </c>
      <c r="H54" s="37" t="s">
        <v>178</v>
      </c>
      <c r="I54" s="37" t="s">
        <v>228</v>
      </c>
    </row>
    <row r="55" spans="1:9" ht="19.95" customHeight="1" x14ac:dyDescent="0.3">
      <c r="A55" s="37" t="s">
        <v>62</v>
      </c>
      <c r="B55" s="37" t="s">
        <v>159</v>
      </c>
      <c r="C55" s="37" t="s">
        <v>166</v>
      </c>
      <c r="D55" s="37" t="s">
        <v>175</v>
      </c>
      <c r="E55" s="37">
        <v>33352</v>
      </c>
      <c r="F55" s="40">
        <v>42379</v>
      </c>
      <c r="G55" s="37">
        <v>3</v>
      </c>
      <c r="H55" s="37" t="s">
        <v>181</v>
      </c>
      <c r="I55" s="37" t="s">
        <v>200</v>
      </c>
    </row>
    <row r="56" spans="1:9" ht="19.95" customHeight="1" x14ac:dyDescent="0.3">
      <c r="A56" s="37" t="s">
        <v>63</v>
      </c>
      <c r="B56" s="37" t="s">
        <v>165</v>
      </c>
      <c r="C56" s="37" t="s">
        <v>170</v>
      </c>
      <c r="D56" s="37" t="s">
        <v>175</v>
      </c>
      <c r="E56" s="37">
        <v>75633</v>
      </c>
      <c r="F56" s="40">
        <v>42386</v>
      </c>
      <c r="G56" s="37">
        <v>5</v>
      </c>
      <c r="H56" s="37" t="s">
        <v>179</v>
      </c>
      <c r="I56" s="37" t="s">
        <v>229</v>
      </c>
    </row>
    <row r="57" spans="1:9" ht="19.95" customHeight="1" x14ac:dyDescent="0.3">
      <c r="A57" s="37" t="s">
        <v>64</v>
      </c>
      <c r="B57" s="37" t="s">
        <v>164</v>
      </c>
      <c r="C57" s="37" t="s">
        <v>178</v>
      </c>
      <c r="D57" s="37" t="s">
        <v>173</v>
      </c>
      <c r="E57" s="37">
        <v>74815</v>
      </c>
      <c r="F57" s="40">
        <v>42393</v>
      </c>
      <c r="G57" s="37">
        <v>5</v>
      </c>
      <c r="H57" s="37" t="s">
        <v>181</v>
      </c>
      <c r="I57" s="37" t="s">
        <v>230</v>
      </c>
    </row>
    <row r="58" spans="1:9" ht="19.95" customHeight="1" x14ac:dyDescent="0.3">
      <c r="A58" s="37" t="s">
        <v>65</v>
      </c>
      <c r="B58" s="37" t="s">
        <v>161</v>
      </c>
      <c r="C58" s="37" t="s">
        <v>168</v>
      </c>
      <c r="D58" s="37" t="s">
        <v>176</v>
      </c>
      <c r="E58" s="37">
        <v>60011</v>
      </c>
      <c r="F58" s="40">
        <v>42400</v>
      </c>
      <c r="G58" s="37">
        <v>1</v>
      </c>
      <c r="H58" s="37" t="s">
        <v>180</v>
      </c>
      <c r="I58" s="37" t="s">
        <v>231</v>
      </c>
    </row>
    <row r="59" spans="1:9" ht="19.95" customHeight="1" x14ac:dyDescent="0.3">
      <c r="A59" s="37" t="s">
        <v>66</v>
      </c>
      <c r="B59" s="37" t="s">
        <v>159</v>
      </c>
      <c r="C59" s="37" t="s">
        <v>178</v>
      </c>
      <c r="D59" s="37" t="s">
        <v>174</v>
      </c>
      <c r="E59" s="37">
        <v>96949</v>
      </c>
      <c r="F59" s="40">
        <v>42407</v>
      </c>
      <c r="G59" s="37">
        <v>3</v>
      </c>
      <c r="H59" s="37" t="s">
        <v>178</v>
      </c>
      <c r="I59" s="37" t="s">
        <v>207</v>
      </c>
    </row>
    <row r="60" spans="1:9" ht="19.95" customHeight="1" x14ac:dyDescent="0.3">
      <c r="A60" s="37" t="s">
        <v>67</v>
      </c>
      <c r="B60" s="37" t="s">
        <v>163</v>
      </c>
      <c r="C60" s="37" t="s">
        <v>170</v>
      </c>
      <c r="D60" s="37" t="s">
        <v>178</v>
      </c>
      <c r="E60" s="37">
        <v>84924</v>
      </c>
      <c r="F60" s="40">
        <v>42414</v>
      </c>
      <c r="G60" s="37">
        <v>5</v>
      </c>
      <c r="H60" s="37" t="s">
        <v>180</v>
      </c>
      <c r="I60" s="37" t="s">
        <v>232</v>
      </c>
    </row>
    <row r="61" spans="1:9" ht="19.95" customHeight="1" x14ac:dyDescent="0.3">
      <c r="A61" s="37" t="s">
        <v>68</v>
      </c>
      <c r="B61" s="37" t="s">
        <v>163</v>
      </c>
      <c r="C61" s="37" t="s">
        <v>166</v>
      </c>
      <c r="D61" s="37" t="s">
        <v>173</v>
      </c>
      <c r="E61" s="37">
        <v>82033</v>
      </c>
      <c r="F61" s="40">
        <v>42421</v>
      </c>
      <c r="G61" s="37">
        <v>1</v>
      </c>
      <c r="H61" s="37" t="s">
        <v>178</v>
      </c>
      <c r="I61" s="37" t="s">
        <v>223</v>
      </c>
    </row>
    <row r="62" spans="1:9" ht="19.95" customHeight="1" x14ac:dyDescent="0.3">
      <c r="A62" s="37" t="s">
        <v>69</v>
      </c>
      <c r="B62" s="37" t="s">
        <v>178</v>
      </c>
      <c r="C62" s="37" t="s">
        <v>170</v>
      </c>
      <c r="D62" s="37" t="s">
        <v>172</v>
      </c>
      <c r="E62" s="37" t="s">
        <v>178</v>
      </c>
      <c r="F62" s="37" t="s">
        <v>178</v>
      </c>
      <c r="G62" s="37">
        <v>5</v>
      </c>
      <c r="H62" s="37" t="s">
        <v>178</v>
      </c>
      <c r="I62" s="37" t="s">
        <v>233</v>
      </c>
    </row>
    <row r="63" spans="1:9" ht="19.95" customHeight="1" x14ac:dyDescent="0.3">
      <c r="A63" s="37" t="s">
        <v>70</v>
      </c>
      <c r="B63" s="37" t="s">
        <v>159</v>
      </c>
      <c r="C63" s="37" t="s">
        <v>178</v>
      </c>
      <c r="D63" s="37" t="s">
        <v>176</v>
      </c>
      <c r="E63" s="37">
        <v>31499</v>
      </c>
      <c r="F63" s="40">
        <v>42435</v>
      </c>
      <c r="G63" s="37">
        <v>2</v>
      </c>
      <c r="H63" s="37" t="s">
        <v>178</v>
      </c>
      <c r="I63" s="37" t="s">
        <v>215</v>
      </c>
    </row>
    <row r="64" spans="1:9" ht="19.95" customHeight="1" x14ac:dyDescent="0.3">
      <c r="A64" s="37" t="s">
        <v>71</v>
      </c>
      <c r="B64" s="37" t="s">
        <v>164</v>
      </c>
      <c r="C64" s="37" t="s">
        <v>169</v>
      </c>
      <c r="D64" s="37" t="s">
        <v>175</v>
      </c>
      <c r="E64" s="37">
        <v>97981</v>
      </c>
      <c r="F64" s="40">
        <v>42442</v>
      </c>
      <c r="G64" s="37">
        <v>5</v>
      </c>
      <c r="H64" s="37" t="s">
        <v>181</v>
      </c>
      <c r="I64" s="37" t="s">
        <v>234</v>
      </c>
    </row>
    <row r="65" spans="1:9" ht="19.95" customHeight="1" x14ac:dyDescent="0.3">
      <c r="A65" s="37" t="s">
        <v>72</v>
      </c>
      <c r="B65" s="37" t="s">
        <v>159</v>
      </c>
      <c r="C65" s="37" t="s">
        <v>167</v>
      </c>
      <c r="D65" s="37" t="s">
        <v>173</v>
      </c>
      <c r="E65" s="37">
        <v>36541</v>
      </c>
      <c r="F65" s="40">
        <v>42449</v>
      </c>
      <c r="G65" s="37">
        <v>2</v>
      </c>
      <c r="H65" s="37" t="s">
        <v>179</v>
      </c>
      <c r="I65" s="37" t="s">
        <v>235</v>
      </c>
    </row>
    <row r="66" spans="1:9" ht="19.95" customHeight="1" x14ac:dyDescent="0.3">
      <c r="A66" s="37" t="s">
        <v>73</v>
      </c>
      <c r="B66" s="37" t="s">
        <v>161</v>
      </c>
      <c r="C66" s="37" t="s">
        <v>169</v>
      </c>
      <c r="D66" s="37" t="s">
        <v>174</v>
      </c>
      <c r="E66" s="37">
        <v>84737</v>
      </c>
      <c r="F66" s="40">
        <v>42456</v>
      </c>
      <c r="G66" s="37">
        <v>1</v>
      </c>
      <c r="H66" s="37" t="s">
        <v>180</v>
      </c>
      <c r="I66" s="37" t="s">
        <v>236</v>
      </c>
    </row>
    <row r="67" spans="1:9" ht="19.95" customHeight="1" x14ac:dyDescent="0.3">
      <c r="A67" s="37" t="s">
        <v>74</v>
      </c>
      <c r="B67" s="37" t="s">
        <v>163</v>
      </c>
      <c r="C67" s="37" t="s">
        <v>166</v>
      </c>
      <c r="D67" s="37" t="s">
        <v>174</v>
      </c>
      <c r="E67" s="37">
        <v>33468</v>
      </c>
      <c r="F67" s="40">
        <v>42463</v>
      </c>
      <c r="G67" s="37">
        <v>4</v>
      </c>
      <c r="H67" s="37" t="s">
        <v>180</v>
      </c>
      <c r="I67" s="37" t="s">
        <v>237</v>
      </c>
    </row>
    <row r="68" spans="1:9" ht="19.95" customHeight="1" x14ac:dyDescent="0.3">
      <c r="A68" s="37" t="s">
        <v>75</v>
      </c>
      <c r="B68" s="37" t="s">
        <v>163</v>
      </c>
      <c r="C68" s="37" t="s">
        <v>178</v>
      </c>
      <c r="D68" s="37" t="s">
        <v>176</v>
      </c>
      <c r="E68" s="37">
        <v>96365</v>
      </c>
      <c r="F68" s="40">
        <v>42470</v>
      </c>
      <c r="G68" s="37">
        <v>3</v>
      </c>
      <c r="H68" s="37" t="s">
        <v>179</v>
      </c>
      <c r="I68" s="37" t="s">
        <v>238</v>
      </c>
    </row>
    <row r="69" spans="1:9" ht="19.95" customHeight="1" x14ac:dyDescent="0.3">
      <c r="A69" s="37" t="s">
        <v>76</v>
      </c>
      <c r="B69" s="37" t="s">
        <v>160</v>
      </c>
      <c r="C69" s="37" t="s">
        <v>168</v>
      </c>
      <c r="D69" s="37" t="s">
        <v>174</v>
      </c>
      <c r="E69" s="37">
        <v>61942</v>
      </c>
      <c r="F69" s="40">
        <v>42477</v>
      </c>
      <c r="G69" s="37">
        <v>3</v>
      </c>
      <c r="H69" s="37" t="s">
        <v>181</v>
      </c>
      <c r="I69" s="37" t="s">
        <v>239</v>
      </c>
    </row>
    <row r="70" spans="1:9" ht="19.95" customHeight="1" x14ac:dyDescent="0.3">
      <c r="A70" s="37" t="s">
        <v>77</v>
      </c>
      <c r="B70" s="37" t="s">
        <v>163</v>
      </c>
      <c r="C70" s="37" t="s">
        <v>166</v>
      </c>
      <c r="D70" s="37" t="s">
        <v>175</v>
      </c>
      <c r="E70" s="37">
        <v>41467</v>
      </c>
      <c r="F70" s="40">
        <v>42484</v>
      </c>
      <c r="G70" s="37">
        <v>2</v>
      </c>
      <c r="H70" s="37" t="s">
        <v>178</v>
      </c>
      <c r="I70" s="37" t="s">
        <v>201</v>
      </c>
    </row>
    <row r="71" spans="1:9" ht="19.95" customHeight="1" x14ac:dyDescent="0.3">
      <c r="A71" s="37" t="s">
        <v>78</v>
      </c>
      <c r="B71" s="37" t="s">
        <v>165</v>
      </c>
      <c r="C71" s="37" t="s">
        <v>166</v>
      </c>
      <c r="D71" s="37" t="s">
        <v>174</v>
      </c>
      <c r="E71" s="37">
        <v>77096</v>
      </c>
      <c r="F71" s="40">
        <v>42491</v>
      </c>
      <c r="G71" s="37">
        <v>1</v>
      </c>
      <c r="H71" s="37" t="s">
        <v>178</v>
      </c>
      <c r="I71" s="37" t="s">
        <v>240</v>
      </c>
    </row>
    <row r="72" spans="1:9" ht="19.95" customHeight="1" x14ac:dyDescent="0.3">
      <c r="A72" s="37" t="s">
        <v>79</v>
      </c>
      <c r="B72" s="37" t="s">
        <v>159</v>
      </c>
      <c r="C72" s="37" t="s">
        <v>168</v>
      </c>
      <c r="D72" s="37" t="s">
        <v>176</v>
      </c>
      <c r="E72" s="37">
        <v>69952</v>
      </c>
      <c r="F72" s="40">
        <v>42498</v>
      </c>
      <c r="G72" s="37">
        <v>5</v>
      </c>
      <c r="H72" s="37" t="s">
        <v>181</v>
      </c>
      <c r="I72" s="37" t="s">
        <v>178</v>
      </c>
    </row>
    <row r="73" spans="1:9" ht="19.95" customHeight="1" x14ac:dyDescent="0.3">
      <c r="A73" s="37" t="s">
        <v>80</v>
      </c>
      <c r="B73" s="37" t="s">
        <v>159</v>
      </c>
      <c r="C73" s="37" t="s">
        <v>170</v>
      </c>
      <c r="D73" s="37" t="s">
        <v>173</v>
      </c>
      <c r="E73" s="37">
        <v>85065</v>
      </c>
      <c r="F73" s="40">
        <v>42505</v>
      </c>
      <c r="G73" s="37">
        <v>3</v>
      </c>
      <c r="H73" s="37" t="s">
        <v>178</v>
      </c>
      <c r="I73" s="37" t="s">
        <v>241</v>
      </c>
    </row>
    <row r="74" spans="1:9" ht="19.95" customHeight="1" x14ac:dyDescent="0.3">
      <c r="A74" s="37" t="s">
        <v>81</v>
      </c>
      <c r="B74" s="37" t="s">
        <v>165</v>
      </c>
      <c r="C74" s="37" t="s">
        <v>170</v>
      </c>
      <c r="D74" s="37" t="s">
        <v>174</v>
      </c>
      <c r="E74" s="37">
        <v>56512</v>
      </c>
      <c r="F74" s="40">
        <v>42512</v>
      </c>
      <c r="G74" s="37" t="s">
        <v>178</v>
      </c>
      <c r="H74" s="37" t="s">
        <v>179</v>
      </c>
      <c r="I74" s="37" t="s">
        <v>190</v>
      </c>
    </row>
    <row r="75" spans="1:9" ht="19.95" customHeight="1" x14ac:dyDescent="0.3">
      <c r="A75" s="37" t="s">
        <v>82</v>
      </c>
      <c r="B75" s="37" t="s">
        <v>161</v>
      </c>
      <c r="C75" s="37" t="s">
        <v>168</v>
      </c>
      <c r="D75" s="37" t="s">
        <v>174</v>
      </c>
      <c r="E75" s="37">
        <v>91101</v>
      </c>
      <c r="F75" s="40">
        <v>42519</v>
      </c>
      <c r="G75" s="37">
        <v>4</v>
      </c>
      <c r="H75" s="37" t="s">
        <v>181</v>
      </c>
      <c r="I75" s="37" t="s">
        <v>234</v>
      </c>
    </row>
    <row r="76" spans="1:9" ht="19.95" customHeight="1" x14ac:dyDescent="0.3">
      <c r="A76" s="37" t="s">
        <v>83</v>
      </c>
      <c r="B76" s="37" t="s">
        <v>163</v>
      </c>
      <c r="C76" s="37" t="s">
        <v>178</v>
      </c>
      <c r="D76" s="37" t="s">
        <v>172</v>
      </c>
      <c r="E76" s="37">
        <v>41243</v>
      </c>
      <c r="F76" s="40">
        <v>42526</v>
      </c>
      <c r="G76" s="37" t="s">
        <v>178</v>
      </c>
      <c r="H76" s="37" t="s">
        <v>178</v>
      </c>
      <c r="I76" s="37" t="s">
        <v>211</v>
      </c>
    </row>
    <row r="77" spans="1:9" ht="19.95" customHeight="1" x14ac:dyDescent="0.3">
      <c r="A77" s="37" t="s">
        <v>84</v>
      </c>
      <c r="B77" s="37" t="s">
        <v>178</v>
      </c>
      <c r="C77" s="37" t="s">
        <v>168</v>
      </c>
      <c r="D77" s="37" t="s">
        <v>178</v>
      </c>
      <c r="E77" s="37">
        <v>96142</v>
      </c>
      <c r="F77" s="40">
        <v>42533</v>
      </c>
      <c r="G77" s="37">
        <v>1</v>
      </c>
      <c r="H77" s="37" t="s">
        <v>179</v>
      </c>
      <c r="I77" s="37" t="s">
        <v>242</v>
      </c>
    </row>
    <row r="78" spans="1:9" ht="19.95" customHeight="1" x14ac:dyDescent="0.3">
      <c r="A78" s="37" t="s">
        <v>85</v>
      </c>
      <c r="B78" s="37" t="s">
        <v>159</v>
      </c>
      <c r="C78" s="37" t="s">
        <v>169</v>
      </c>
      <c r="D78" s="37" t="s">
        <v>174</v>
      </c>
      <c r="E78" s="37">
        <v>94301</v>
      </c>
      <c r="F78" s="40">
        <v>42540</v>
      </c>
      <c r="G78" s="37">
        <v>1</v>
      </c>
      <c r="H78" s="37" t="s">
        <v>180</v>
      </c>
      <c r="I78" s="37" t="s">
        <v>223</v>
      </c>
    </row>
    <row r="79" spans="1:9" ht="19.95" customHeight="1" x14ac:dyDescent="0.3">
      <c r="A79" s="37" t="s">
        <v>86</v>
      </c>
      <c r="B79" s="37" t="s">
        <v>162</v>
      </c>
      <c r="C79" s="37" t="s">
        <v>178</v>
      </c>
      <c r="D79" s="37" t="s">
        <v>175</v>
      </c>
      <c r="E79" s="37">
        <v>69166</v>
      </c>
      <c r="F79" s="40">
        <v>42547</v>
      </c>
      <c r="G79" s="37">
        <v>1</v>
      </c>
      <c r="H79" s="37" t="s">
        <v>181</v>
      </c>
      <c r="I79" s="37" t="s">
        <v>243</v>
      </c>
    </row>
    <row r="80" spans="1:9" ht="19.95" customHeight="1" x14ac:dyDescent="0.3">
      <c r="A80" s="37" t="s">
        <v>87</v>
      </c>
      <c r="B80" s="37" t="s">
        <v>163</v>
      </c>
      <c r="C80" s="37" t="s">
        <v>178</v>
      </c>
      <c r="D80" s="37" t="s">
        <v>175</v>
      </c>
      <c r="E80" s="37">
        <v>78245</v>
      </c>
      <c r="F80" s="40">
        <v>42554</v>
      </c>
      <c r="G80" s="37">
        <v>2</v>
      </c>
      <c r="H80" s="37" t="s">
        <v>178</v>
      </c>
      <c r="I80" s="37" t="s">
        <v>244</v>
      </c>
    </row>
    <row r="81" spans="1:9" ht="19.95" customHeight="1" x14ac:dyDescent="0.3">
      <c r="A81" s="37" t="s">
        <v>88</v>
      </c>
      <c r="B81" s="37" t="s">
        <v>164</v>
      </c>
      <c r="C81" s="37" t="s">
        <v>168</v>
      </c>
      <c r="D81" s="37" t="s">
        <v>173</v>
      </c>
      <c r="E81" s="37">
        <v>66079</v>
      </c>
      <c r="F81" s="40">
        <v>42561</v>
      </c>
      <c r="G81" s="37">
        <v>2</v>
      </c>
      <c r="H81" s="37" t="s">
        <v>179</v>
      </c>
      <c r="I81" s="37" t="s">
        <v>245</v>
      </c>
    </row>
    <row r="82" spans="1:9" ht="19.95" customHeight="1" x14ac:dyDescent="0.3">
      <c r="A82" s="37" t="s">
        <v>89</v>
      </c>
      <c r="B82" s="37" t="s">
        <v>159</v>
      </c>
      <c r="C82" s="37" t="s">
        <v>170</v>
      </c>
      <c r="D82" s="37" t="s">
        <v>174</v>
      </c>
      <c r="E82" s="37" t="s">
        <v>178</v>
      </c>
      <c r="F82" s="37" t="s">
        <v>178</v>
      </c>
      <c r="G82" s="37" t="s">
        <v>178</v>
      </c>
      <c r="H82" s="37" t="s">
        <v>178</v>
      </c>
      <c r="I82" s="37" t="s">
        <v>208</v>
      </c>
    </row>
    <row r="83" spans="1:9" ht="19.95" customHeight="1" x14ac:dyDescent="0.3">
      <c r="A83" s="37" t="s">
        <v>90</v>
      </c>
      <c r="B83" s="37" t="s">
        <v>162</v>
      </c>
      <c r="C83" s="37" t="s">
        <v>168</v>
      </c>
      <c r="D83" s="37" t="s">
        <v>173</v>
      </c>
      <c r="E83" s="37">
        <v>95621</v>
      </c>
      <c r="F83" s="40">
        <v>42575</v>
      </c>
      <c r="G83" s="37">
        <v>3</v>
      </c>
      <c r="H83" s="37" t="s">
        <v>181</v>
      </c>
      <c r="I83" s="37" t="s">
        <v>246</v>
      </c>
    </row>
    <row r="84" spans="1:9" ht="19.95" customHeight="1" x14ac:dyDescent="0.3">
      <c r="A84" s="37" t="s">
        <v>91</v>
      </c>
      <c r="B84" s="37" t="s">
        <v>159</v>
      </c>
      <c r="C84" s="37" t="s">
        <v>169</v>
      </c>
      <c r="D84" s="37" t="s">
        <v>175</v>
      </c>
      <c r="E84" s="37">
        <v>42262</v>
      </c>
      <c r="F84" s="40">
        <v>42582</v>
      </c>
      <c r="G84" s="37">
        <v>1</v>
      </c>
      <c r="H84" s="37" t="s">
        <v>178</v>
      </c>
      <c r="I84" s="37" t="s">
        <v>247</v>
      </c>
    </row>
    <row r="85" spans="1:9" ht="19.95" customHeight="1" x14ac:dyDescent="0.3">
      <c r="A85" s="37" t="s">
        <v>92</v>
      </c>
      <c r="B85" s="37" t="s">
        <v>163</v>
      </c>
      <c r="C85" s="37" t="s">
        <v>168</v>
      </c>
      <c r="D85" s="37" t="s">
        <v>174</v>
      </c>
      <c r="E85" s="37">
        <v>99621</v>
      </c>
      <c r="F85" s="40">
        <v>42589</v>
      </c>
      <c r="G85" s="37" t="s">
        <v>178</v>
      </c>
      <c r="H85" s="37" t="s">
        <v>179</v>
      </c>
      <c r="I85" s="37" t="s">
        <v>248</v>
      </c>
    </row>
    <row r="86" spans="1:9" ht="19.95" customHeight="1" x14ac:dyDescent="0.3">
      <c r="A86" s="37" t="s">
        <v>93</v>
      </c>
      <c r="B86" s="37" t="s">
        <v>161</v>
      </c>
      <c r="C86" s="37" t="s">
        <v>170</v>
      </c>
      <c r="D86" s="37" t="s">
        <v>174</v>
      </c>
      <c r="E86" s="37">
        <v>44682</v>
      </c>
      <c r="F86" s="40">
        <v>42596</v>
      </c>
      <c r="G86" s="37">
        <v>4</v>
      </c>
      <c r="H86" s="37" t="s">
        <v>181</v>
      </c>
      <c r="I86" s="37" t="s">
        <v>220</v>
      </c>
    </row>
    <row r="87" spans="1:9" ht="19.95" customHeight="1" x14ac:dyDescent="0.3">
      <c r="A87" s="37" t="s">
        <v>94</v>
      </c>
      <c r="B87" s="37" t="s">
        <v>164</v>
      </c>
      <c r="C87" s="37" t="s">
        <v>166</v>
      </c>
      <c r="D87" s="37" t="s">
        <v>178</v>
      </c>
      <c r="E87" s="37">
        <v>35163</v>
      </c>
      <c r="F87" s="40">
        <v>42603</v>
      </c>
      <c r="G87" s="37">
        <v>5</v>
      </c>
      <c r="H87" s="37" t="s">
        <v>179</v>
      </c>
      <c r="I87" s="37" t="s">
        <v>249</v>
      </c>
    </row>
    <row r="88" spans="1:9" ht="19.95" customHeight="1" x14ac:dyDescent="0.3">
      <c r="A88" s="37" t="s">
        <v>95</v>
      </c>
      <c r="B88" s="37" t="s">
        <v>164</v>
      </c>
      <c r="C88" s="37" t="s">
        <v>169</v>
      </c>
      <c r="D88" s="37" t="s">
        <v>174</v>
      </c>
      <c r="E88" s="37">
        <v>33483</v>
      </c>
      <c r="F88" s="40">
        <v>42610</v>
      </c>
      <c r="G88" s="37">
        <v>4</v>
      </c>
      <c r="H88" s="37" t="s">
        <v>180</v>
      </c>
      <c r="I88" s="37" t="s">
        <v>250</v>
      </c>
    </row>
    <row r="89" spans="1:9" ht="19.95" customHeight="1" x14ac:dyDescent="0.3">
      <c r="A89" s="37" t="s">
        <v>96</v>
      </c>
      <c r="B89" s="37" t="s">
        <v>163</v>
      </c>
      <c r="C89" s="37" t="s">
        <v>167</v>
      </c>
      <c r="D89" s="37" t="s">
        <v>172</v>
      </c>
      <c r="E89" s="37">
        <v>55303</v>
      </c>
      <c r="F89" s="40">
        <v>42617</v>
      </c>
      <c r="G89" s="37">
        <v>4</v>
      </c>
      <c r="H89" s="37" t="s">
        <v>180</v>
      </c>
      <c r="I89" s="37" t="s">
        <v>203</v>
      </c>
    </row>
    <row r="90" spans="1:9" ht="19.95" customHeight="1" x14ac:dyDescent="0.3">
      <c r="A90" s="37" t="s">
        <v>97</v>
      </c>
      <c r="B90" s="37" t="s">
        <v>164</v>
      </c>
      <c r="C90" s="37" t="s">
        <v>169</v>
      </c>
      <c r="D90" s="37" t="s">
        <v>178</v>
      </c>
      <c r="E90" s="37">
        <v>63434</v>
      </c>
      <c r="F90" s="40">
        <v>42624</v>
      </c>
      <c r="G90" s="37">
        <v>3</v>
      </c>
      <c r="H90" s="37" t="s">
        <v>178</v>
      </c>
      <c r="I90" s="37" t="s">
        <v>251</v>
      </c>
    </row>
    <row r="91" spans="1:9" ht="19.95" customHeight="1" x14ac:dyDescent="0.3">
      <c r="A91" s="37" t="s">
        <v>98</v>
      </c>
      <c r="B91" s="37" t="s">
        <v>162</v>
      </c>
      <c r="C91" s="37" t="s">
        <v>178</v>
      </c>
      <c r="D91" s="37" t="s">
        <v>176</v>
      </c>
      <c r="E91" s="37">
        <v>38830</v>
      </c>
      <c r="F91" s="40">
        <v>42631</v>
      </c>
      <c r="G91" s="37">
        <v>3</v>
      </c>
      <c r="H91" s="37" t="s">
        <v>179</v>
      </c>
      <c r="I91" s="37" t="s">
        <v>203</v>
      </c>
    </row>
    <row r="92" spans="1:9" ht="19.95" customHeight="1" x14ac:dyDescent="0.3">
      <c r="A92" s="37" t="s">
        <v>99</v>
      </c>
      <c r="B92" s="37" t="s">
        <v>178</v>
      </c>
      <c r="C92" s="37" t="s">
        <v>170</v>
      </c>
      <c r="D92" s="37" t="s">
        <v>175</v>
      </c>
      <c r="E92" s="37">
        <v>50741</v>
      </c>
      <c r="F92" s="40">
        <v>42638</v>
      </c>
      <c r="G92" s="37">
        <v>3</v>
      </c>
      <c r="H92" s="37" t="s">
        <v>178</v>
      </c>
      <c r="I92" s="37" t="s">
        <v>240</v>
      </c>
    </row>
    <row r="93" spans="1:9" ht="19.95" customHeight="1" x14ac:dyDescent="0.3">
      <c r="A93" s="37" t="s">
        <v>100</v>
      </c>
      <c r="B93" s="37" t="s">
        <v>160</v>
      </c>
      <c r="C93" s="37" t="s">
        <v>167</v>
      </c>
      <c r="D93" s="37" t="s">
        <v>176</v>
      </c>
      <c r="E93" s="37">
        <v>69420</v>
      </c>
      <c r="F93" s="40">
        <v>42645</v>
      </c>
      <c r="G93" s="37">
        <v>1</v>
      </c>
      <c r="H93" s="37" t="s">
        <v>180</v>
      </c>
      <c r="I93" s="37" t="s">
        <v>225</v>
      </c>
    </row>
    <row r="94" spans="1:9" ht="19.95" customHeight="1" x14ac:dyDescent="0.3">
      <c r="A94" s="37" t="s">
        <v>101</v>
      </c>
      <c r="B94" s="37" t="s">
        <v>162</v>
      </c>
      <c r="C94" s="37" t="s">
        <v>169</v>
      </c>
      <c r="D94" s="37" t="s">
        <v>178</v>
      </c>
      <c r="E94" s="37">
        <v>80588</v>
      </c>
      <c r="F94" s="40">
        <v>42652</v>
      </c>
      <c r="G94" s="37">
        <v>5</v>
      </c>
      <c r="H94" s="37" t="s">
        <v>180</v>
      </c>
      <c r="I94" s="37" t="s">
        <v>216</v>
      </c>
    </row>
    <row r="95" spans="1:9" ht="19.95" customHeight="1" x14ac:dyDescent="0.3">
      <c r="A95" s="37" t="s">
        <v>102</v>
      </c>
      <c r="B95" s="37" t="s">
        <v>160</v>
      </c>
      <c r="C95" s="37" t="s">
        <v>178</v>
      </c>
      <c r="D95" s="37" t="s">
        <v>173</v>
      </c>
      <c r="E95" s="37">
        <v>76238</v>
      </c>
      <c r="F95" s="40">
        <v>42659</v>
      </c>
      <c r="G95" s="37">
        <v>4</v>
      </c>
      <c r="H95" s="37" t="s">
        <v>180</v>
      </c>
      <c r="I95" s="37" t="s">
        <v>252</v>
      </c>
    </row>
    <row r="96" spans="1:9" ht="19.95" customHeight="1" x14ac:dyDescent="0.3">
      <c r="A96" s="37" t="s">
        <v>103</v>
      </c>
      <c r="B96" s="37" t="s">
        <v>165</v>
      </c>
      <c r="C96" s="37" t="s">
        <v>169</v>
      </c>
      <c r="D96" s="37" t="s">
        <v>174</v>
      </c>
      <c r="E96" s="37">
        <v>33264</v>
      </c>
      <c r="F96" s="40">
        <v>42666</v>
      </c>
      <c r="G96" s="37" t="s">
        <v>178</v>
      </c>
      <c r="H96" s="37" t="s">
        <v>181</v>
      </c>
      <c r="I96" s="37" t="s">
        <v>253</v>
      </c>
    </row>
    <row r="97" spans="1:9" ht="19.95" customHeight="1" x14ac:dyDescent="0.3">
      <c r="A97" s="37" t="s">
        <v>104</v>
      </c>
      <c r="B97" s="37" t="s">
        <v>160</v>
      </c>
      <c r="C97" s="37" t="s">
        <v>166</v>
      </c>
      <c r="D97" s="37" t="s">
        <v>176</v>
      </c>
      <c r="E97" s="37">
        <v>96101</v>
      </c>
      <c r="F97" s="40">
        <v>42673</v>
      </c>
      <c r="G97" s="37" t="s">
        <v>178</v>
      </c>
      <c r="H97" s="37" t="s">
        <v>179</v>
      </c>
      <c r="I97" s="37" t="s">
        <v>254</v>
      </c>
    </row>
    <row r="98" spans="1:9" ht="19.95" customHeight="1" x14ac:dyDescent="0.3">
      <c r="A98" s="37" t="s">
        <v>105</v>
      </c>
      <c r="B98" s="37" t="s">
        <v>162</v>
      </c>
      <c r="C98" s="37" t="s">
        <v>166</v>
      </c>
      <c r="D98" s="37" t="s">
        <v>173</v>
      </c>
      <c r="E98" s="37">
        <v>72939</v>
      </c>
      <c r="F98" s="40">
        <v>42680</v>
      </c>
      <c r="G98" s="37">
        <v>3</v>
      </c>
      <c r="H98" s="37" t="s">
        <v>178</v>
      </c>
      <c r="I98" s="37" t="s">
        <v>255</v>
      </c>
    </row>
    <row r="99" spans="1:9" ht="19.95" customHeight="1" x14ac:dyDescent="0.3">
      <c r="A99" s="37" t="s">
        <v>106</v>
      </c>
      <c r="B99" s="37" t="s">
        <v>163</v>
      </c>
      <c r="C99" s="37" t="s">
        <v>167</v>
      </c>
      <c r="D99" s="37" t="s">
        <v>172</v>
      </c>
      <c r="E99" s="37">
        <v>89333</v>
      </c>
      <c r="F99" s="40">
        <v>42687</v>
      </c>
      <c r="G99" s="37">
        <v>1</v>
      </c>
      <c r="H99" s="37" t="s">
        <v>180</v>
      </c>
      <c r="I99" s="37" t="s">
        <v>256</v>
      </c>
    </row>
    <row r="100" spans="1:9" ht="19.95" customHeight="1" x14ac:dyDescent="0.3">
      <c r="A100" s="37" t="s">
        <v>107</v>
      </c>
      <c r="B100" s="37" t="s">
        <v>165</v>
      </c>
      <c r="C100" s="37" t="s">
        <v>169</v>
      </c>
      <c r="D100" s="37" t="s">
        <v>176</v>
      </c>
      <c r="E100" s="37">
        <v>70470</v>
      </c>
      <c r="F100" s="40">
        <v>42694</v>
      </c>
      <c r="G100" s="37" t="s">
        <v>178</v>
      </c>
      <c r="H100" s="37" t="s">
        <v>180</v>
      </c>
      <c r="I100" s="37" t="s">
        <v>257</v>
      </c>
    </row>
    <row r="101" spans="1:9" ht="19.95" customHeight="1" x14ac:dyDescent="0.3">
      <c r="A101" s="37" t="s">
        <v>108</v>
      </c>
      <c r="B101" s="37" t="s">
        <v>159</v>
      </c>
      <c r="C101" s="37" t="s">
        <v>170</v>
      </c>
      <c r="D101" s="37" t="s">
        <v>173</v>
      </c>
      <c r="E101" s="37">
        <v>70096</v>
      </c>
      <c r="F101" s="40">
        <v>42701</v>
      </c>
      <c r="G101" s="37">
        <v>4</v>
      </c>
      <c r="H101" s="37" t="s">
        <v>180</v>
      </c>
      <c r="I101" s="37" t="s">
        <v>258</v>
      </c>
    </row>
    <row r="102" spans="1:9" ht="19.95" customHeight="1" x14ac:dyDescent="0.3">
      <c r="A102" s="37" t="s">
        <v>109</v>
      </c>
      <c r="B102" s="37" t="s">
        <v>165</v>
      </c>
      <c r="C102" s="37" t="s">
        <v>170</v>
      </c>
      <c r="D102" s="37" t="s">
        <v>178</v>
      </c>
      <c r="E102" s="37" t="s">
        <v>178</v>
      </c>
      <c r="F102" s="40">
        <v>42708</v>
      </c>
      <c r="G102" s="37">
        <v>2</v>
      </c>
      <c r="H102" s="37" t="s">
        <v>179</v>
      </c>
      <c r="I102" s="37" t="s">
        <v>259</v>
      </c>
    </row>
    <row r="103" spans="1:9" ht="19.95" customHeight="1" x14ac:dyDescent="0.3">
      <c r="A103" s="37" t="s">
        <v>110</v>
      </c>
      <c r="B103" s="37" t="s">
        <v>165</v>
      </c>
      <c r="C103" s="37" t="s">
        <v>169</v>
      </c>
      <c r="D103" s="37" t="s">
        <v>172</v>
      </c>
      <c r="E103" s="37">
        <v>66503</v>
      </c>
      <c r="F103" s="40">
        <v>42715</v>
      </c>
      <c r="G103" s="37" t="s">
        <v>178</v>
      </c>
      <c r="H103" s="37" t="s">
        <v>180</v>
      </c>
      <c r="I103" s="37" t="s">
        <v>200</v>
      </c>
    </row>
    <row r="104" spans="1:9" ht="19.95" customHeight="1" x14ac:dyDescent="0.3">
      <c r="A104" s="37" t="s">
        <v>111</v>
      </c>
      <c r="B104" s="37" t="s">
        <v>160</v>
      </c>
      <c r="C104" s="37" t="s">
        <v>167</v>
      </c>
      <c r="D104" s="37" t="s">
        <v>172</v>
      </c>
      <c r="E104" s="37">
        <v>42096</v>
      </c>
      <c r="F104" s="40">
        <v>42722</v>
      </c>
      <c r="G104" s="37" t="s">
        <v>178</v>
      </c>
      <c r="H104" s="37" t="s">
        <v>181</v>
      </c>
      <c r="I104" s="37" t="s">
        <v>260</v>
      </c>
    </row>
    <row r="105" spans="1:9" ht="19.95" customHeight="1" x14ac:dyDescent="0.3">
      <c r="A105" s="37" t="s">
        <v>112</v>
      </c>
      <c r="B105" s="37" t="s">
        <v>160</v>
      </c>
      <c r="C105" s="37" t="s">
        <v>170</v>
      </c>
      <c r="D105" s="37" t="s">
        <v>178</v>
      </c>
      <c r="E105" s="37">
        <v>79145</v>
      </c>
      <c r="F105" s="40">
        <v>42729</v>
      </c>
      <c r="G105" s="37">
        <v>5</v>
      </c>
      <c r="H105" s="37" t="s">
        <v>179</v>
      </c>
      <c r="I105" s="37" t="s">
        <v>223</v>
      </c>
    </row>
    <row r="106" spans="1:9" ht="19.95" customHeight="1" x14ac:dyDescent="0.3">
      <c r="A106" s="37" t="s">
        <v>113</v>
      </c>
      <c r="B106" s="37" t="s">
        <v>162</v>
      </c>
      <c r="C106" s="37" t="s">
        <v>178</v>
      </c>
      <c r="D106" s="37" t="s">
        <v>176</v>
      </c>
      <c r="E106" s="37">
        <v>61556</v>
      </c>
      <c r="F106" s="40">
        <v>42736</v>
      </c>
      <c r="G106" s="37">
        <v>1</v>
      </c>
      <c r="H106" s="37" t="s">
        <v>178</v>
      </c>
      <c r="I106" s="37" t="s">
        <v>259</v>
      </c>
    </row>
    <row r="107" spans="1:9" ht="19.95" customHeight="1" x14ac:dyDescent="0.3">
      <c r="A107" s="37" t="s">
        <v>114</v>
      </c>
      <c r="B107" s="37" t="s">
        <v>178</v>
      </c>
      <c r="C107" s="37" t="s">
        <v>167</v>
      </c>
      <c r="D107" s="37" t="s">
        <v>175</v>
      </c>
      <c r="E107" s="37">
        <v>87963</v>
      </c>
      <c r="F107" s="40">
        <v>42743</v>
      </c>
      <c r="G107" s="37">
        <v>3</v>
      </c>
      <c r="H107" s="37" t="s">
        <v>179</v>
      </c>
      <c r="I107" s="37" t="s">
        <v>178</v>
      </c>
    </row>
    <row r="108" spans="1:9" ht="19.95" customHeight="1" x14ac:dyDescent="0.3">
      <c r="A108" s="37" t="s">
        <v>115</v>
      </c>
      <c r="B108" s="37" t="s">
        <v>159</v>
      </c>
      <c r="C108" s="37" t="s">
        <v>169</v>
      </c>
      <c r="D108" s="37" t="s">
        <v>178</v>
      </c>
      <c r="E108" s="37">
        <v>48325</v>
      </c>
      <c r="F108" s="40">
        <v>42750</v>
      </c>
      <c r="G108" s="37" t="s">
        <v>178</v>
      </c>
      <c r="H108" s="37" t="s">
        <v>180</v>
      </c>
      <c r="I108" s="37" t="s">
        <v>261</v>
      </c>
    </row>
    <row r="109" spans="1:9" ht="19.95" customHeight="1" x14ac:dyDescent="0.3">
      <c r="A109" s="37" t="s">
        <v>116</v>
      </c>
      <c r="B109" s="37" t="s">
        <v>163</v>
      </c>
      <c r="C109" s="37" t="s">
        <v>170</v>
      </c>
      <c r="D109" s="37" t="s">
        <v>176</v>
      </c>
      <c r="E109" s="37">
        <v>86412</v>
      </c>
      <c r="F109" s="40">
        <v>42757</v>
      </c>
      <c r="G109" s="37">
        <v>2</v>
      </c>
      <c r="H109" s="37" t="s">
        <v>181</v>
      </c>
      <c r="I109" s="37" t="s">
        <v>202</v>
      </c>
    </row>
    <row r="110" spans="1:9" ht="19.95" customHeight="1" x14ac:dyDescent="0.3">
      <c r="A110" s="37" t="s">
        <v>117</v>
      </c>
      <c r="B110" s="37" t="s">
        <v>163</v>
      </c>
      <c r="C110" s="37" t="s">
        <v>167</v>
      </c>
      <c r="D110" s="37" t="s">
        <v>178</v>
      </c>
      <c r="E110" s="37">
        <v>66761</v>
      </c>
      <c r="F110" s="40">
        <v>42764</v>
      </c>
      <c r="G110" s="37">
        <v>1</v>
      </c>
      <c r="H110" s="37" t="s">
        <v>178</v>
      </c>
      <c r="I110" s="37" t="s">
        <v>262</v>
      </c>
    </row>
    <row r="111" spans="1:9" ht="19.95" customHeight="1" x14ac:dyDescent="0.3">
      <c r="A111" s="37" t="s">
        <v>118</v>
      </c>
      <c r="B111" s="37" t="s">
        <v>162</v>
      </c>
      <c r="C111" s="37" t="s">
        <v>178</v>
      </c>
      <c r="D111" s="37" t="s">
        <v>174</v>
      </c>
      <c r="E111" s="37">
        <v>88850</v>
      </c>
      <c r="F111" s="40">
        <v>42771</v>
      </c>
      <c r="G111" s="37">
        <v>1</v>
      </c>
      <c r="H111" s="37" t="s">
        <v>181</v>
      </c>
      <c r="I111" s="37" t="s">
        <v>263</v>
      </c>
    </row>
    <row r="112" spans="1:9" ht="19.95" customHeight="1" x14ac:dyDescent="0.3">
      <c r="A112" s="37" t="s">
        <v>119</v>
      </c>
      <c r="B112" s="37" t="s">
        <v>164</v>
      </c>
      <c r="C112" s="37" t="s">
        <v>168</v>
      </c>
      <c r="D112" s="37" t="s">
        <v>174</v>
      </c>
      <c r="E112" s="37">
        <v>31293</v>
      </c>
      <c r="F112" s="37" t="s">
        <v>178</v>
      </c>
      <c r="G112" s="37">
        <v>2</v>
      </c>
      <c r="H112" s="37" t="s">
        <v>181</v>
      </c>
      <c r="I112" s="37" t="s">
        <v>264</v>
      </c>
    </row>
    <row r="113" spans="1:9" ht="19.95" customHeight="1" x14ac:dyDescent="0.3">
      <c r="A113" s="37" t="s">
        <v>120</v>
      </c>
      <c r="B113" s="37" t="s">
        <v>164</v>
      </c>
      <c r="C113" s="37" t="s">
        <v>169</v>
      </c>
      <c r="D113" s="37" t="s">
        <v>173</v>
      </c>
      <c r="E113" s="37">
        <v>34306</v>
      </c>
      <c r="F113" s="40">
        <v>42785</v>
      </c>
      <c r="G113" s="37">
        <v>5</v>
      </c>
      <c r="H113" s="37" t="s">
        <v>181</v>
      </c>
      <c r="I113" s="37" t="s">
        <v>239</v>
      </c>
    </row>
    <row r="114" spans="1:9" ht="19.95" customHeight="1" x14ac:dyDescent="0.3">
      <c r="A114" s="37" t="s">
        <v>121</v>
      </c>
      <c r="B114" s="37" t="s">
        <v>159</v>
      </c>
      <c r="C114" s="37" t="s">
        <v>166</v>
      </c>
      <c r="D114" s="37" t="s">
        <v>174</v>
      </c>
      <c r="E114" s="37">
        <v>78330</v>
      </c>
      <c r="F114" s="40">
        <v>42792</v>
      </c>
      <c r="G114" s="37" t="s">
        <v>178</v>
      </c>
      <c r="H114" s="37" t="s">
        <v>179</v>
      </c>
      <c r="I114" s="37" t="s">
        <v>258</v>
      </c>
    </row>
    <row r="115" spans="1:9" ht="19.95" customHeight="1" x14ac:dyDescent="0.3">
      <c r="A115" s="37" t="s">
        <v>122</v>
      </c>
      <c r="B115" s="37" t="s">
        <v>160</v>
      </c>
      <c r="C115" s="37" t="s">
        <v>169</v>
      </c>
      <c r="D115" s="37" t="s">
        <v>173</v>
      </c>
      <c r="E115" s="37">
        <v>47653</v>
      </c>
      <c r="F115" s="40">
        <v>42799</v>
      </c>
      <c r="G115" s="37">
        <v>1</v>
      </c>
      <c r="H115" s="37" t="s">
        <v>180</v>
      </c>
      <c r="I115" s="37" t="s">
        <v>265</v>
      </c>
    </row>
    <row r="116" spans="1:9" ht="19.95" customHeight="1" x14ac:dyDescent="0.3">
      <c r="A116" s="37" t="s">
        <v>123</v>
      </c>
      <c r="B116" s="37" t="s">
        <v>159</v>
      </c>
      <c r="C116" s="37" t="s">
        <v>170</v>
      </c>
      <c r="D116" s="37" t="s">
        <v>175</v>
      </c>
      <c r="E116" s="37">
        <v>44627</v>
      </c>
      <c r="F116" s="40">
        <v>42806</v>
      </c>
      <c r="G116" s="37">
        <v>4</v>
      </c>
      <c r="H116" s="37" t="s">
        <v>178</v>
      </c>
      <c r="I116" s="37" t="s">
        <v>235</v>
      </c>
    </row>
    <row r="117" spans="1:9" ht="19.95" customHeight="1" x14ac:dyDescent="0.3">
      <c r="A117" s="37" t="s">
        <v>124</v>
      </c>
      <c r="B117" s="37" t="s">
        <v>165</v>
      </c>
      <c r="C117" s="37" t="s">
        <v>167</v>
      </c>
      <c r="D117" s="37" t="s">
        <v>172</v>
      </c>
      <c r="E117" s="37">
        <v>92343</v>
      </c>
      <c r="F117" s="40">
        <v>42813</v>
      </c>
      <c r="G117" s="37">
        <v>4</v>
      </c>
      <c r="H117" s="37" t="s">
        <v>181</v>
      </c>
      <c r="I117" s="37" t="s">
        <v>203</v>
      </c>
    </row>
    <row r="118" spans="1:9" ht="19.95" customHeight="1" x14ac:dyDescent="0.3">
      <c r="A118" s="37" t="s">
        <v>125</v>
      </c>
      <c r="B118" s="37" t="s">
        <v>165</v>
      </c>
      <c r="C118" s="37" t="s">
        <v>170</v>
      </c>
      <c r="D118" s="37" t="s">
        <v>176</v>
      </c>
      <c r="E118" s="37">
        <v>38837</v>
      </c>
      <c r="F118" s="40">
        <v>42820</v>
      </c>
      <c r="G118" s="37">
        <v>5</v>
      </c>
      <c r="H118" s="37" t="s">
        <v>181</v>
      </c>
      <c r="I118" s="37" t="s">
        <v>239</v>
      </c>
    </row>
    <row r="119" spans="1:9" ht="19.95" customHeight="1" x14ac:dyDescent="0.3">
      <c r="A119" s="37" t="s">
        <v>126</v>
      </c>
      <c r="B119" s="37" t="s">
        <v>165</v>
      </c>
      <c r="C119" s="37" t="s">
        <v>170</v>
      </c>
      <c r="D119" s="37" t="s">
        <v>178</v>
      </c>
      <c r="E119" s="37">
        <v>73483</v>
      </c>
      <c r="F119" s="40">
        <v>42827</v>
      </c>
      <c r="G119" s="37">
        <v>1</v>
      </c>
      <c r="H119" s="37" t="s">
        <v>178</v>
      </c>
      <c r="I119" s="37" t="s">
        <v>266</v>
      </c>
    </row>
    <row r="120" spans="1:9" ht="19.95" customHeight="1" x14ac:dyDescent="0.3">
      <c r="A120" s="37" t="s">
        <v>127</v>
      </c>
      <c r="B120" s="37" t="s">
        <v>164</v>
      </c>
      <c r="C120" s="37" t="s">
        <v>168</v>
      </c>
      <c r="D120" s="37" t="s">
        <v>174</v>
      </c>
      <c r="E120" s="37">
        <v>95032</v>
      </c>
      <c r="F120" s="40">
        <v>42834</v>
      </c>
      <c r="G120" s="37">
        <v>3</v>
      </c>
      <c r="H120" s="37" t="s">
        <v>178</v>
      </c>
      <c r="I120" s="37" t="s">
        <v>267</v>
      </c>
    </row>
    <row r="121" spans="1:9" ht="19.95" customHeight="1" x14ac:dyDescent="0.3">
      <c r="A121" s="37" t="s">
        <v>128</v>
      </c>
      <c r="B121" s="37" t="s">
        <v>159</v>
      </c>
      <c r="C121" s="37" t="s">
        <v>168</v>
      </c>
      <c r="D121" s="37" t="s">
        <v>176</v>
      </c>
      <c r="E121" s="37">
        <v>44358</v>
      </c>
      <c r="F121" s="40">
        <v>42841</v>
      </c>
      <c r="G121" s="37" t="s">
        <v>178</v>
      </c>
      <c r="H121" s="37" t="s">
        <v>181</v>
      </c>
      <c r="I121" s="37" t="s">
        <v>200</v>
      </c>
    </row>
    <row r="122" spans="1:9" ht="19.95" customHeight="1" x14ac:dyDescent="0.3">
      <c r="A122" s="37" t="s">
        <v>129</v>
      </c>
      <c r="B122" s="37" t="s">
        <v>178</v>
      </c>
      <c r="C122" s="37" t="s">
        <v>169</v>
      </c>
      <c r="D122" s="37" t="s">
        <v>173</v>
      </c>
      <c r="E122" s="37" t="s">
        <v>178</v>
      </c>
      <c r="F122" s="37" t="s">
        <v>178</v>
      </c>
      <c r="G122" s="37">
        <v>5</v>
      </c>
      <c r="H122" s="37" t="s">
        <v>178</v>
      </c>
      <c r="I122" s="37" t="s">
        <v>268</v>
      </c>
    </row>
    <row r="123" spans="1:9" ht="19.95" customHeight="1" x14ac:dyDescent="0.3">
      <c r="A123" s="37" t="s">
        <v>130</v>
      </c>
      <c r="B123" s="37" t="s">
        <v>164</v>
      </c>
      <c r="C123" s="37" t="s">
        <v>168</v>
      </c>
      <c r="D123" s="37" t="s">
        <v>173</v>
      </c>
      <c r="E123" s="37">
        <v>45676</v>
      </c>
      <c r="F123" s="40">
        <v>42855</v>
      </c>
      <c r="G123" s="37">
        <v>2</v>
      </c>
      <c r="H123" s="37" t="s">
        <v>178</v>
      </c>
      <c r="I123" s="37" t="s">
        <v>269</v>
      </c>
    </row>
    <row r="124" spans="1:9" ht="19.95" customHeight="1" x14ac:dyDescent="0.3">
      <c r="A124" s="37" t="s">
        <v>131</v>
      </c>
      <c r="B124" s="37" t="s">
        <v>165</v>
      </c>
      <c r="C124" s="37" t="s">
        <v>168</v>
      </c>
      <c r="D124" s="37" t="s">
        <v>172</v>
      </c>
      <c r="E124" s="37">
        <v>52036</v>
      </c>
      <c r="F124" s="40">
        <v>42862</v>
      </c>
      <c r="G124" s="37">
        <v>3</v>
      </c>
      <c r="H124" s="37" t="s">
        <v>180</v>
      </c>
      <c r="I124" s="37" t="s">
        <v>270</v>
      </c>
    </row>
    <row r="125" spans="1:9" ht="19.95" customHeight="1" x14ac:dyDescent="0.3">
      <c r="A125" s="37" t="s">
        <v>132</v>
      </c>
      <c r="B125" s="37" t="s">
        <v>162</v>
      </c>
      <c r="C125" s="37" t="s">
        <v>178</v>
      </c>
      <c r="D125" s="37" t="s">
        <v>172</v>
      </c>
      <c r="E125" s="37">
        <v>30357</v>
      </c>
      <c r="F125" s="40">
        <v>42869</v>
      </c>
      <c r="G125" s="37">
        <v>5</v>
      </c>
      <c r="H125" s="37" t="s">
        <v>180</v>
      </c>
      <c r="I125" s="37" t="s">
        <v>248</v>
      </c>
    </row>
    <row r="126" spans="1:9" ht="19.95" customHeight="1" x14ac:dyDescent="0.3">
      <c r="A126" s="37" t="s">
        <v>133</v>
      </c>
      <c r="B126" s="37" t="s">
        <v>161</v>
      </c>
      <c r="C126" s="37" t="s">
        <v>169</v>
      </c>
      <c r="D126" s="37" t="s">
        <v>178</v>
      </c>
      <c r="E126" s="37">
        <v>60034</v>
      </c>
      <c r="F126" s="40">
        <v>42876</v>
      </c>
      <c r="G126" s="37">
        <v>1</v>
      </c>
      <c r="H126" s="37" t="s">
        <v>181</v>
      </c>
      <c r="I126" s="37" t="s">
        <v>271</v>
      </c>
    </row>
    <row r="127" spans="1:9" ht="19.95" customHeight="1" x14ac:dyDescent="0.3">
      <c r="A127" s="37" t="s">
        <v>134</v>
      </c>
      <c r="B127" s="37" t="s">
        <v>161</v>
      </c>
      <c r="C127" s="37" t="s">
        <v>166</v>
      </c>
      <c r="D127" s="37" t="s">
        <v>178</v>
      </c>
      <c r="E127" s="37">
        <v>90019</v>
      </c>
      <c r="F127" s="40">
        <v>42883</v>
      </c>
      <c r="G127" s="37">
        <v>5</v>
      </c>
      <c r="H127" s="37" t="s">
        <v>178</v>
      </c>
      <c r="I127" s="37" t="s">
        <v>272</v>
      </c>
    </row>
    <row r="128" spans="1:9" ht="19.95" customHeight="1" x14ac:dyDescent="0.3">
      <c r="A128" s="37" t="s">
        <v>135</v>
      </c>
      <c r="B128" s="37" t="s">
        <v>165</v>
      </c>
      <c r="C128" s="37" t="s">
        <v>178</v>
      </c>
      <c r="D128" s="37" t="s">
        <v>172</v>
      </c>
      <c r="E128" s="37">
        <v>71494</v>
      </c>
      <c r="F128" s="40">
        <v>42890</v>
      </c>
      <c r="G128" s="37">
        <v>3</v>
      </c>
      <c r="H128" s="37" t="s">
        <v>180</v>
      </c>
      <c r="I128" s="37" t="s">
        <v>273</v>
      </c>
    </row>
    <row r="129" spans="1:9" ht="19.95" customHeight="1" x14ac:dyDescent="0.3">
      <c r="A129" s="37" t="s">
        <v>136</v>
      </c>
      <c r="B129" s="37" t="s">
        <v>161</v>
      </c>
      <c r="C129" s="37" t="s">
        <v>166</v>
      </c>
      <c r="D129" s="37" t="s">
        <v>173</v>
      </c>
      <c r="E129" s="37">
        <v>91953</v>
      </c>
      <c r="F129" s="40">
        <v>42897</v>
      </c>
      <c r="G129" s="37">
        <v>2</v>
      </c>
      <c r="H129" s="37" t="s">
        <v>180</v>
      </c>
      <c r="I129" s="37" t="s">
        <v>209</v>
      </c>
    </row>
    <row r="130" spans="1:9" ht="19.95" customHeight="1" x14ac:dyDescent="0.3">
      <c r="A130" s="37" t="s">
        <v>137</v>
      </c>
      <c r="B130" s="37" t="s">
        <v>164</v>
      </c>
      <c r="C130" s="37" t="s">
        <v>168</v>
      </c>
      <c r="D130" s="37" t="s">
        <v>173</v>
      </c>
      <c r="E130" s="37">
        <v>30402</v>
      </c>
      <c r="F130" s="40">
        <v>42904</v>
      </c>
      <c r="G130" s="37">
        <v>1</v>
      </c>
      <c r="H130" s="37" t="s">
        <v>178</v>
      </c>
      <c r="I130" s="37" t="s">
        <v>274</v>
      </c>
    </row>
    <row r="131" spans="1:9" ht="19.95" customHeight="1" x14ac:dyDescent="0.3">
      <c r="A131" s="37" t="s">
        <v>138</v>
      </c>
      <c r="B131" s="37" t="s">
        <v>165</v>
      </c>
      <c r="C131" s="37" t="s">
        <v>178</v>
      </c>
      <c r="D131" s="37" t="s">
        <v>175</v>
      </c>
      <c r="E131" s="37">
        <v>62994</v>
      </c>
      <c r="F131" s="40">
        <v>42911</v>
      </c>
      <c r="G131" s="37" t="s">
        <v>178</v>
      </c>
      <c r="H131" s="37" t="s">
        <v>178</v>
      </c>
      <c r="I131" s="37" t="s">
        <v>221</v>
      </c>
    </row>
    <row r="132" spans="1:9" ht="19.95" customHeight="1" x14ac:dyDescent="0.3">
      <c r="A132" s="37" t="s">
        <v>139</v>
      </c>
      <c r="B132" s="37" t="s">
        <v>160</v>
      </c>
      <c r="C132" s="37" t="s">
        <v>168</v>
      </c>
      <c r="D132" s="37" t="s">
        <v>174</v>
      </c>
      <c r="E132" s="37">
        <v>48289</v>
      </c>
      <c r="F132" s="37" t="s">
        <v>178</v>
      </c>
      <c r="G132" s="37">
        <v>3</v>
      </c>
      <c r="H132" s="37" t="s">
        <v>180</v>
      </c>
      <c r="I132" s="37" t="s">
        <v>189</v>
      </c>
    </row>
    <row r="133" spans="1:9" ht="19.95" customHeight="1" x14ac:dyDescent="0.3">
      <c r="A133" s="37" t="s">
        <v>140</v>
      </c>
      <c r="B133" s="37" t="s">
        <v>163</v>
      </c>
      <c r="C133" s="37" t="s">
        <v>170</v>
      </c>
      <c r="D133" s="37" t="s">
        <v>172</v>
      </c>
      <c r="E133" s="37">
        <v>34402</v>
      </c>
      <c r="F133" s="40">
        <v>42925</v>
      </c>
      <c r="G133" s="37">
        <v>3</v>
      </c>
      <c r="H133" s="37" t="s">
        <v>179</v>
      </c>
      <c r="I133" s="37" t="s">
        <v>218</v>
      </c>
    </row>
    <row r="134" spans="1:9" ht="19.95" customHeight="1" x14ac:dyDescent="0.3">
      <c r="A134" s="37" t="s">
        <v>141</v>
      </c>
      <c r="B134" s="37" t="s">
        <v>159</v>
      </c>
      <c r="C134" s="37" t="s">
        <v>167</v>
      </c>
      <c r="D134" s="37" t="s">
        <v>173</v>
      </c>
      <c r="E134" s="37">
        <v>38678</v>
      </c>
      <c r="F134" s="40">
        <v>42932</v>
      </c>
      <c r="G134" s="37">
        <v>3</v>
      </c>
      <c r="H134" s="37" t="s">
        <v>179</v>
      </c>
      <c r="I134" s="37" t="s">
        <v>275</v>
      </c>
    </row>
    <row r="135" spans="1:9" ht="19.95" customHeight="1" x14ac:dyDescent="0.3">
      <c r="A135" s="37" t="s">
        <v>142</v>
      </c>
      <c r="B135" s="37" t="s">
        <v>164</v>
      </c>
      <c r="C135" s="37" t="s">
        <v>167</v>
      </c>
      <c r="D135" s="37" t="s">
        <v>172</v>
      </c>
      <c r="E135" s="37">
        <v>45758</v>
      </c>
      <c r="F135" s="40">
        <v>42939</v>
      </c>
      <c r="G135" s="37">
        <v>3</v>
      </c>
      <c r="H135" s="37" t="s">
        <v>178</v>
      </c>
      <c r="I135" s="37" t="s">
        <v>264</v>
      </c>
    </row>
    <row r="136" spans="1:9" ht="19.95" customHeight="1" x14ac:dyDescent="0.3">
      <c r="A136" s="37" t="s">
        <v>143</v>
      </c>
      <c r="B136" s="37" t="s">
        <v>159</v>
      </c>
      <c r="C136" s="37" t="s">
        <v>170</v>
      </c>
      <c r="D136" s="37" t="s">
        <v>174</v>
      </c>
      <c r="E136" s="37">
        <v>62476</v>
      </c>
      <c r="F136" s="40">
        <v>42946</v>
      </c>
      <c r="G136" s="37">
        <v>1</v>
      </c>
      <c r="H136" s="37" t="s">
        <v>179</v>
      </c>
      <c r="I136" s="37" t="s">
        <v>231</v>
      </c>
    </row>
    <row r="137" spans="1:9" ht="19.95" customHeight="1" x14ac:dyDescent="0.3">
      <c r="A137" s="37" t="s">
        <v>144</v>
      </c>
      <c r="B137" s="37" t="s">
        <v>178</v>
      </c>
      <c r="C137" s="37" t="s">
        <v>169</v>
      </c>
      <c r="D137" s="37" t="s">
        <v>175</v>
      </c>
      <c r="E137" s="37">
        <v>39280</v>
      </c>
      <c r="F137" s="40">
        <v>42953</v>
      </c>
      <c r="G137" s="37">
        <v>3</v>
      </c>
      <c r="H137" s="37" t="s">
        <v>181</v>
      </c>
      <c r="I137" s="37" t="s">
        <v>214</v>
      </c>
    </row>
    <row r="138" spans="1:9" ht="19.95" customHeight="1" x14ac:dyDescent="0.3">
      <c r="A138" s="37" t="s">
        <v>145</v>
      </c>
      <c r="B138" s="37" t="s">
        <v>162</v>
      </c>
      <c r="C138" s="37" t="s">
        <v>166</v>
      </c>
      <c r="D138" s="37" t="s">
        <v>174</v>
      </c>
      <c r="E138" s="37">
        <v>60335</v>
      </c>
      <c r="F138" s="40">
        <v>42960</v>
      </c>
      <c r="G138" s="37">
        <v>4</v>
      </c>
      <c r="H138" s="37" t="s">
        <v>179</v>
      </c>
      <c r="I138" s="37" t="s">
        <v>227</v>
      </c>
    </row>
    <row r="139" spans="1:9" ht="19.95" customHeight="1" x14ac:dyDescent="0.3">
      <c r="A139" s="37" t="s">
        <v>146</v>
      </c>
      <c r="B139" s="37" t="s">
        <v>164</v>
      </c>
      <c r="C139" s="37" t="s">
        <v>167</v>
      </c>
      <c r="D139" s="37" t="s">
        <v>172</v>
      </c>
      <c r="E139" s="37">
        <v>84968</v>
      </c>
      <c r="F139" s="40">
        <v>42967</v>
      </c>
      <c r="G139" s="37" t="s">
        <v>178</v>
      </c>
      <c r="H139" s="37" t="s">
        <v>178</v>
      </c>
      <c r="I139" s="37" t="s">
        <v>276</v>
      </c>
    </row>
    <row r="140" spans="1:9" ht="19.95" customHeight="1" x14ac:dyDescent="0.3">
      <c r="A140" s="37" t="s">
        <v>147</v>
      </c>
      <c r="B140" s="37" t="s">
        <v>164</v>
      </c>
      <c r="C140" s="37" t="s">
        <v>170</v>
      </c>
      <c r="D140" s="37" t="s">
        <v>176</v>
      </c>
      <c r="E140" s="37">
        <v>84750</v>
      </c>
      <c r="F140" s="40">
        <v>42974</v>
      </c>
      <c r="G140" s="37">
        <v>4</v>
      </c>
      <c r="H140" s="37" t="s">
        <v>181</v>
      </c>
      <c r="I140" s="37" t="s">
        <v>195</v>
      </c>
    </row>
    <row r="141" spans="1:9" ht="19.95" customHeight="1" x14ac:dyDescent="0.3">
      <c r="A141" s="37" t="s">
        <v>148</v>
      </c>
      <c r="B141" s="37" t="s">
        <v>165</v>
      </c>
      <c r="C141" s="37" t="s">
        <v>169</v>
      </c>
      <c r="D141" s="37" t="s">
        <v>178</v>
      </c>
      <c r="E141" s="37">
        <v>73348</v>
      </c>
      <c r="F141" s="40">
        <v>42981</v>
      </c>
      <c r="G141" s="37">
        <v>2</v>
      </c>
      <c r="H141" s="37" t="s">
        <v>178</v>
      </c>
      <c r="I141" s="37" t="s">
        <v>243</v>
      </c>
    </row>
    <row r="142" spans="1:9" ht="19.95" customHeight="1" x14ac:dyDescent="0.3">
      <c r="A142" s="37" t="s">
        <v>149</v>
      </c>
      <c r="B142" s="37" t="s">
        <v>164</v>
      </c>
      <c r="C142" s="37" t="s">
        <v>168</v>
      </c>
      <c r="D142" s="37" t="s">
        <v>173</v>
      </c>
      <c r="E142" s="37" t="s">
        <v>178</v>
      </c>
      <c r="F142" s="40">
        <v>42988</v>
      </c>
      <c r="G142" s="37">
        <v>4</v>
      </c>
      <c r="H142" s="37" t="s">
        <v>179</v>
      </c>
      <c r="I142" s="37" t="s">
        <v>178</v>
      </c>
    </row>
    <row r="143" spans="1:9" ht="19.95" customHeight="1" x14ac:dyDescent="0.3">
      <c r="A143" s="37" t="s">
        <v>150</v>
      </c>
      <c r="B143" s="37" t="s">
        <v>162</v>
      </c>
      <c r="C143" s="37" t="s">
        <v>170</v>
      </c>
      <c r="D143" s="37" t="s">
        <v>173</v>
      </c>
      <c r="E143" s="37">
        <v>66882</v>
      </c>
      <c r="F143" s="40">
        <v>42995</v>
      </c>
      <c r="G143" s="37">
        <v>5</v>
      </c>
      <c r="H143" s="37" t="s">
        <v>179</v>
      </c>
      <c r="I143" s="37" t="s">
        <v>207</v>
      </c>
    </row>
    <row r="144" spans="1:9" ht="19.95" customHeight="1" x14ac:dyDescent="0.3">
      <c r="A144" s="37" t="s">
        <v>151</v>
      </c>
      <c r="B144" s="37" t="s">
        <v>160</v>
      </c>
      <c r="C144" s="37" t="s">
        <v>170</v>
      </c>
      <c r="D144" s="37" t="s">
        <v>178</v>
      </c>
      <c r="E144" s="37">
        <v>86775</v>
      </c>
      <c r="F144" s="40">
        <v>43002</v>
      </c>
      <c r="G144" s="37">
        <v>3</v>
      </c>
      <c r="H144" s="37" t="s">
        <v>179</v>
      </c>
      <c r="I144" s="37" t="s">
        <v>212</v>
      </c>
    </row>
    <row r="145" spans="1:9" ht="19.95" customHeight="1" x14ac:dyDescent="0.3">
      <c r="A145" s="37" t="s">
        <v>152</v>
      </c>
      <c r="B145" s="37" t="s">
        <v>164</v>
      </c>
      <c r="C145" s="37" t="s">
        <v>168</v>
      </c>
      <c r="D145" s="37" t="s">
        <v>175</v>
      </c>
      <c r="E145" s="37">
        <v>91620</v>
      </c>
      <c r="F145" s="40">
        <v>43009</v>
      </c>
      <c r="G145" s="37" t="s">
        <v>178</v>
      </c>
      <c r="H145" s="37" t="s">
        <v>178</v>
      </c>
      <c r="I145" s="37" t="s">
        <v>277</v>
      </c>
    </row>
    <row r="146" spans="1:9" ht="19.95" customHeight="1" x14ac:dyDescent="0.3">
      <c r="A146" s="37" t="s">
        <v>153</v>
      </c>
      <c r="B146" s="37" t="s">
        <v>159</v>
      </c>
      <c r="C146" s="37" t="s">
        <v>178</v>
      </c>
      <c r="D146" s="37" t="s">
        <v>178</v>
      </c>
      <c r="E146" s="37">
        <v>94148</v>
      </c>
      <c r="F146" s="40">
        <v>43016</v>
      </c>
      <c r="G146" s="37">
        <v>2</v>
      </c>
      <c r="H146" s="37" t="s">
        <v>178</v>
      </c>
      <c r="I146" s="37" t="s">
        <v>278</v>
      </c>
    </row>
    <row r="147" spans="1:9" ht="19.95" customHeight="1" x14ac:dyDescent="0.3">
      <c r="A147" s="37" t="s">
        <v>154</v>
      </c>
      <c r="B147" s="37" t="s">
        <v>163</v>
      </c>
      <c r="C147" s="37" t="s">
        <v>168</v>
      </c>
      <c r="D147" s="37" t="s">
        <v>176</v>
      </c>
      <c r="E147" s="37">
        <v>35627</v>
      </c>
      <c r="F147" s="40">
        <v>43023</v>
      </c>
      <c r="G147" s="37">
        <v>5</v>
      </c>
      <c r="H147" s="37" t="s">
        <v>181</v>
      </c>
      <c r="I147" s="37" t="s">
        <v>275</v>
      </c>
    </row>
    <row r="148" spans="1:9" ht="19.95" customHeight="1" x14ac:dyDescent="0.3">
      <c r="A148" s="37" t="s">
        <v>155</v>
      </c>
      <c r="B148" s="37" t="s">
        <v>161</v>
      </c>
      <c r="C148" s="37" t="s">
        <v>170</v>
      </c>
      <c r="D148" s="37" t="s">
        <v>173</v>
      </c>
      <c r="E148" s="37">
        <v>57141</v>
      </c>
      <c r="F148" s="40">
        <v>43030</v>
      </c>
      <c r="G148" s="37">
        <v>2</v>
      </c>
      <c r="H148" s="37" t="s">
        <v>178</v>
      </c>
      <c r="I148" s="37" t="s">
        <v>276</v>
      </c>
    </row>
    <row r="149" spans="1:9" ht="19.95" customHeight="1" x14ac:dyDescent="0.3">
      <c r="A149" s="37" t="s">
        <v>156</v>
      </c>
      <c r="B149" s="37" t="s">
        <v>165</v>
      </c>
      <c r="C149" s="37" t="s">
        <v>168</v>
      </c>
      <c r="D149" s="37" t="s">
        <v>176</v>
      </c>
      <c r="E149" s="37">
        <v>65270</v>
      </c>
      <c r="F149" s="40">
        <v>43037</v>
      </c>
      <c r="G149" s="37">
        <v>1</v>
      </c>
      <c r="H149" s="37" t="s">
        <v>178</v>
      </c>
      <c r="I149" s="37" t="s">
        <v>279</v>
      </c>
    </row>
    <row r="150" spans="1:9" ht="19.95" customHeight="1" x14ac:dyDescent="0.3">
      <c r="A150" s="37" t="s">
        <v>157</v>
      </c>
      <c r="B150" s="37" t="s">
        <v>165</v>
      </c>
      <c r="C150" s="37" t="s">
        <v>178</v>
      </c>
      <c r="D150" s="37" t="s">
        <v>175</v>
      </c>
      <c r="E150" s="37">
        <v>67335</v>
      </c>
      <c r="F150" s="40">
        <v>43044</v>
      </c>
      <c r="G150" s="37">
        <v>1</v>
      </c>
      <c r="H150" s="37" t="s">
        <v>179</v>
      </c>
      <c r="I150" s="37" t="s">
        <v>233</v>
      </c>
    </row>
    <row r="151" spans="1:9" ht="19.95" customHeight="1" x14ac:dyDescent="0.3">
      <c r="A151" s="37" t="s">
        <v>158</v>
      </c>
      <c r="B151" s="37" t="s">
        <v>163</v>
      </c>
      <c r="C151" s="37" t="s">
        <v>170</v>
      </c>
      <c r="D151" s="37" t="s">
        <v>174</v>
      </c>
      <c r="E151" s="37">
        <v>98475</v>
      </c>
      <c r="F151" s="40">
        <v>43051</v>
      </c>
      <c r="G151" s="37">
        <v>5</v>
      </c>
      <c r="H151" s="37" t="s">
        <v>179</v>
      </c>
      <c r="I151" s="37" t="s">
        <v>280</v>
      </c>
    </row>
  </sheetData>
  <autoFilter ref="A1:I151" xr:uid="{91BA5722-1B36-4296-8EA1-C63DF6E56B27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2164-E7AB-4ABA-A7FE-44B69E9C1E20}">
  <sheetPr>
    <tabColor theme="3" tint="0.39997558519241921"/>
  </sheetPr>
  <dimension ref="A1:B151"/>
  <sheetViews>
    <sheetView workbookViewId="0">
      <selection activeCell="I9" sqref="I9"/>
    </sheetView>
  </sheetViews>
  <sheetFormatPr defaultRowHeight="14.4" x14ac:dyDescent="0.3"/>
  <cols>
    <col min="1" max="2" width="20.77734375" customWidth="1"/>
  </cols>
  <sheetData>
    <row r="1" spans="1:2" ht="19.95" customHeight="1" x14ac:dyDescent="0.3">
      <c r="A1" s="9" t="s">
        <v>0</v>
      </c>
      <c r="B1" s="9" t="s">
        <v>2</v>
      </c>
    </row>
    <row r="2" spans="1:2" ht="19.95" customHeight="1" x14ac:dyDescent="0.3">
      <c r="A2" s="37" t="s">
        <v>9</v>
      </c>
      <c r="B2" s="37" t="s">
        <v>166</v>
      </c>
    </row>
    <row r="3" spans="1:2" ht="19.95" customHeight="1" x14ac:dyDescent="0.3">
      <c r="A3" s="37" t="s">
        <v>10</v>
      </c>
      <c r="B3" s="37" t="s">
        <v>167</v>
      </c>
    </row>
    <row r="4" spans="1:2" ht="19.95" customHeight="1" x14ac:dyDescent="0.3">
      <c r="A4" s="37" t="s">
        <v>11</v>
      </c>
      <c r="B4" s="37" t="s">
        <v>166</v>
      </c>
    </row>
    <row r="5" spans="1:2" ht="19.95" customHeight="1" x14ac:dyDescent="0.3">
      <c r="A5" s="37" t="s">
        <v>12</v>
      </c>
      <c r="B5" s="37" t="s">
        <v>168</v>
      </c>
    </row>
    <row r="6" spans="1:2" ht="19.95" customHeight="1" x14ac:dyDescent="0.3">
      <c r="A6" s="37" t="s">
        <v>13</v>
      </c>
      <c r="B6" s="37" t="s">
        <v>168</v>
      </c>
    </row>
    <row r="7" spans="1:2" x14ac:dyDescent="0.3">
      <c r="A7" s="37" t="s">
        <v>14</v>
      </c>
      <c r="B7" s="37" t="s">
        <v>169</v>
      </c>
    </row>
    <row r="8" spans="1:2" x14ac:dyDescent="0.3">
      <c r="A8" s="37"/>
      <c r="B8" s="37"/>
    </row>
    <row r="9" spans="1:2" x14ac:dyDescent="0.3">
      <c r="A9" s="37"/>
      <c r="B9" s="37"/>
    </row>
    <row r="10" spans="1:2" x14ac:dyDescent="0.3">
      <c r="A10" s="37"/>
      <c r="B10" s="37"/>
    </row>
    <row r="11" spans="1:2" x14ac:dyDescent="0.3">
      <c r="A11" s="37"/>
      <c r="B11" s="37"/>
    </row>
    <row r="12" spans="1:2" x14ac:dyDescent="0.3">
      <c r="A12" s="37"/>
      <c r="B12" s="37"/>
    </row>
    <row r="13" spans="1:2" x14ac:dyDescent="0.3">
      <c r="A13" s="37"/>
      <c r="B13" s="37"/>
    </row>
    <row r="14" spans="1:2" x14ac:dyDescent="0.3">
      <c r="A14" s="37"/>
      <c r="B14" s="37"/>
    </row>
    <row r="15" spans="1:2" x14ac:dyDescent="0.3">
      <c r="A15" s="37"/>
      <c r="B15" s="37"/>
    </row>
    <row r="16" spans="1:2" x14ac:dyDescent="0.3">
      <c r="A16" s="37"/>
      <c r="B16" s="37"/>
    </row>
    <row r="17" spans="1:2" x14ac:dyDescent="0.3">
      <c r="A17" s="37"/>
      <c r="B17" s="37"/>
    </row>
    <row r="18" spans="1:2" x14ac:dyDescent="0.3">
      <c r="A18" s="37"/>
      <c r="B18" s="37"/>
    </row>
    <row r="19" spans="1:2" x14ac:dyDescent="0.3">
      <c r="A19" s="37"/>
      <c r="B19" s="37"/>
    </row>
    <row r="20" spans="1:2" x14ac:dyDescent="0.3">
      <c r="A20" s="37"/>
      <c r="B20" s="37"/>
    </row>
    <row r="21" spans="1:2" x14ac:dyDescent="0.3">
      <c r="A21" s="37"/>
      <c r="B21" s="37"/>
    </row>
    <row r="22" spans="1:2" x14ac:dyDescent="0.3">
      <c r="A22" s="37"/>
      <c r="B22" s="37"/>
    </row>
    <row r="23" spans="1:2" x14ac:dyDescent="0.3">
      <c r="A23" s="37"/>
      <c r="B23" s="37"/>
    </row>
    <row r="24" spans="1:2" x14ac:dyDescent="0.3">
      <c r="A24" s="37"/>
      <c r="B24" s="37"/>
    </row>
    <row r="25" spans="1:2" x14ac:dyDescent="0.3">
      <c r="A25" s="37"/>
      <c r="B25" s="37"/>
    </row>
    <row r="26" spans="1:2" x14ac:dyDescent="0.3">
      <c r="A26" s="37"/>
      <c r="B26" s="37"/>
    </row>
    <row r="27" spans="1:2" x14ac:dyDescent="0.3">
      <c r="A27" s="37"/>
      <c r="B27" s="37"/>
    </row>
    <row r="28" spans="1:2" x14ac:dyDescent="0.3">
      <c r="A28" s="37"/>
      <c r="B28" s="37"/>
    </row>
    <row r="29" spans="1:2" x14ac:dyDescent="0.3">
      <c r="A29" s="37"/>
      <c r="B29" s="37"/>
    </row>
    <row r="30" spans="1:2" x14ac:dyDescent="0.3">
      <c r="A30" s="37"/>
      <c r="B30" s="37"/>
    </row>
    <row r="31" spans="1:2" x14ac:dyDescent="0.3">
      <c r="A31" s="37"/>
      <c r="B31" s="37"/>
    </row>
    <row r="32" spans="1:2" x14ac:dyDescent="0.3">
      <c r="A32" s="37"/>
      <c r="B32" s="37"/>
    </row>
    <row r="33" spans="1:2" x14ac:dyDescent="0.3">
      <c r="A33" s="37"/>
      <c r="B33" s="37"/>
    </row>
    <row r="34" spans="1:2" x14ac:dyDescent="0.3">
      <c r="A34" s="37"/>
      <c r="B34" s="37"/>
    </row>
    <row r="35" spans="1:2" x14ac:dyDescent="0.3">
      <c r="A35" s="37"/>
      <c r="B35" s="37"/>
    </row>
    <row r="36" spans="1:2" x14ac:dyDescent="0.3">
      <c r="A36" s="37"/>
      <c r="B36" s="37"/>
    </row>
    <row r="37" spans="1:2" x14ac:dyDescent="0.3">
      <c r="A37" s="37"/>
      <c r="B37" s="37"/>
    </row>
    <row r="38" spans="1:2" x14ac:dyDescent="0.3">
      <c r="A38" s="37"/>
      <c r="B38" s="37"/>
    </row>
    <row r="39" spans="1:2" x14ac:dyDescent="0.3">
      <c r="A39" s="37"/>
      <c r="B39" s="37"/>
    </row>
    <row r="40" spans="1:2" x14ac:dyDescent="0.3">
      <c r="A40" s="37"/>
      <c r="B40" s="37"/>
    </row>
    <row r="41" spans="1:2" x14ac:dyDescent="0.3">
      <c r="A41" s="37"/>
      <c r="B41" s="37"/>
    </row>
    <row r="42" spans="1:2" x14ac:dyDescent="0.3">
      <c r="A42" s="37"/>
      <c r="B42" s="37"/>
    </row>
    <row r="43" spans="1:2" x14ac:dyDescent="0.3">
      <c r="A43" s="37"/>
      <c r="B43" s="37"/>
    </row>
    <row r="44" spans="1:2" x14ac:dyDescent="0.3">
      <c r="A44" s="37"/>
      <c r="B44" s="37"/>
    </row>
    <row r="45" spans="1:2" x14ac:dyDescent="0.3">
      <c r="A45" s="37"/>
      <c r="B45" s="37"/>
    </row>
    <row r="46" spans="1:2" x14ac:dyDescent="0.3">
      <c r="A46" s="37"/>
      <c r="B46" s="37"/>
    </row>
    <row r="47" spans="1:2" x14ac:dyDescent="0.3">
      <c r="A47" s="37"/>
      <c r="B47" s="37"/>
    </row>
    <row r="48" spans="1:2" x14ac:dyDescent="0.3">
      <c r="A48" s="37"/>
      <c r="B48" s="37"/>
    </row>
    <row r="49" spans="1:2" x14ac:dyDescent="0.3">
      <c r="A49" s="37"/>
      <c r="B49" s="37"/>
    </row>
    <row r="50" spans="1:2" x14ac:dyDescent="0.3">
      <c r="A50" s="37"/>
      <c r="B50" s="37"/>
    </row>
    <row r="51" spans="1:2" x14ac:dyDescent="0.3">
      <c r="A51" s="37"/>
      <c r="B51" s="37"/>
    </row>
    <row r="52" spans="1:2" x14ac:dyDescent="0.3">
      <c r="A52" s="37"/>
      <c r="B52" s="37"/>
    </row>
    <row r="53" spans="1:2" x14ac:dyDescent="0.3">
      <c r="A53" s="37"/>
      <c r="B53" s="37"/>
    </row>
    <row r="54" spans="1:2" x14ac:dyDescent="0.3">
      <c r="A54" s="37"/>
      <c r="B54" s="37"/>
    </row>
    <row r="55" spans="1:2" x14ac:dyDescent="0.3">
      <c r="A55" s="37"/>
      <c r="B55" s="37"/>
    </row>
    <row r="56" spans="1:2" x14ac:dyDescent="0.3">
      <c r="A56" s="37"/>
      <c r="B56" s="37"/>
    </row>
    <row r="57" spans="1:2" x14ac:dyDescent="0.3">
      <c r="A57" s="37"/>
      <c r="B57" s="37"/>
    </row>
    <row r="58" spans="1:2" x14ac:dyDescent="0.3">
      <c r="A58" s="37"/>
      <c r="B58" s="37"/>
    </row>
    <row r="59" spans="1:2" x14ac:dyDescent="0.3">
      <c r="A59" s="37"/>
      <c r="B59" s="37"/>
    </row>
    <row r="60" spans="1:2" x14ac:dyDescent="0.3">
      <c r="A60" s="37"/>
      <c r="B60" s="37"/>
    </row>
    <row r="61" spans="1:2" x14ac:dyDescent="0.3">
      <c r="A61" s="37"/>
      <c r="B61" s="37"/>
    </row>
    <row r="62" spans="1:2" x14ac:dyDescent="0.3">
      <c r="A62" s="37"/>
      <c r="B62" s="37"/>
    </row>
    <row r="63" spans="1:2" x14ac:dyDescent="0.3">
      <c r="A63" s="37"/>
      <c r="B63" s="37"/>
    </row>
    <row r="64" spans="1:2" x14ac:dyDescent="0.3">
      <c r="A64" s="37"/>
      <c r="B64" s="37"/>
    </row>
    <row r="65" spans="1:2" x14ac:dyDescent="0.3">
      <c r="A65" s="37"/>
      <c r="B65" s="37"/>
    </row>
    <row r="66" spans="1:2" x14ac:dyDescent="0.3">
      <c r="A66" s="37"/>
      <c r="B66" s="37"/>
    </row>
    <row r="67" spans="1:2" x14ac:dyDescent="0.3">
      <c r="A67" s="37"/>
      <c r="B67" s="37"/>
    </row>
    <row r="68" spans="1:2" x14ac:dyDescent="0.3">
      <c r="A68" s="37"/>
      <c r="B68" s="37"/>
    </row>
    <row r="69" spans="1:2" x14ac:dyDescent="0.3">
      <c r="A69" s="37"/>
      <c r="B69" s="37"/>
    </row>
    <row r="70" spans="1:2" x14ac:dyDescent="0.3">
      <c r="A70" s="37"/>
      <c r="B70" s="37"/>
    </row>
    <row r="71" spans="1:2" x14ac:dyDescent="0.3">
      <c r="A71" s="37"/>
      <c r="B71" s="37"/>
    </row>
    <row r="72" spans="1:2" x14ac:dyDescent="0.3">
      <c r="A72" s="37"/>
      <c r="B72" s="37"/>
    </row>
    <row r="73" spans="1:2" x14ac:dyDescent="0.3">
      <c r="A73" s="37"/>
      <c r="B73" s="37"/>
    </row>
    <row r="74" spans="1:2" x14ac:dyDescent="0.3">
      <c r="A74" s="37"/>
      <c r="B74" s="37"/>
    </row>
    <row r="75" spans="1:2" x14ac:dyDescent="0.3">
      <c r="A75" s="37"/>
      <c r="B75" s="37"/>
    </row>
    <row r="76" spans="1:2" x14ac:dyDescent="0.3">
      <c r="A76" s="37"/>
      <c r="B76" s="37"/>
    </row>
    <row r="77" spans="1:2" x14ac:dyDescent="0.3">
      <c r="A77" s="37"/>
      <c r="B77" s="37"/>
    </row>
    <row r="78" spans="1:2" x14ac:dyDescent="0.3">
      <c r="A78" s="37"/>
      <c r="B78" s="37"/>
    </row>
    <row r="79" spans="1:2" x14ac:dyDescent="0.3">
      <c r="A79" s="37"/>
      <c r="B79" s="37"/>
    </row>
    <row r="80" spans="1:2" x14ac:dyDescent="0.3">
      <c r="A80" s="37"/>
      <c r="B80" s="37"/>
    </row>
    <row r="81" spans="1:2" x14ac:dyDescent="0.3">
      <c r="A81" s="37"/>
      <c r="B81" s="37"/>
    </row>
    <row r="82" spans="1:2" x14ac:dyDescent="0.3">
      <c r="A82" s="37"/>
      <c r="B82" s="37"/>
    </row>
    <row r="83" spans="1:2" x14ac:dyDescent="0.3">
      <c r="A83" s="37"/>
      <c r="B83" s="37"/>
    </row>
    <row r="84" spans="1:2" x14ac:dyDescent="0.3">
      <c r="A84" s="37"/>
      <c r="B84" s="37"/>
    </row>
    <row r="85" spans="1:2" x14ac:dyDescent="0.3">
      <c r="A85" s="37"/>
      <c r="B85" s="37"/>
    </row>
    <row r="86" spans="1:2" x14ac:dyDescent="0.3">
      <c r="A86" s="37"/>
      <c r="B86" s="37"/>
    </row>
    <row r="87" spans="1:2" x14ac:dyDescent="0.3">
      <c r="A87" s="37"/>
      <c r="B87" s="37"/>
    </row>
    <row r="88" spans="1:2" x14ac:dyDescent="0.3">
      <c r="A88" s="37"/>
      <c r="B88" s="37"/>
    </row>
    <row r="89" spans="1:2" x14ac:dyDescent="0.3">
      <c r="A89" s="37"/>
      <c r="B89" s="37"/>
    </row>
    <row r="90" spans="1:2" x14ac:dyDescent="0.3">
      <c r="A90" s="37"/>
      <c r="B90" s="37"/>
    </row>
    <row r="91" spans="1:2" x14ac:dyDescent="0.3">
      <c r="A91" s="37"/>
      <c r="B91" s="37"/>
    </row>
    <row r="92" spans="1:2" x14ac:dyDescent="0.3">
      <c r="A92" s="37"/>
      <c r="B92" s="37"/>
    </row>
    <row r="93" spans="1:2" x14ac:dyDescent="0.3">
      <c r="A93" s="37"/>
      <c r="B93" s="37"/>
    </row>
    <row r="94" spans="1:2" x14ac:dyDescent="0.3">
      <c r="A94" s="37"/>
      <c r="B94" s="37"/>
    </row>
    <row r="95" spans="1:2" x14ac:dyDescent="0.3">
      <c r="A95" s="37"/>
      <c r="B95" s="37"/>
    </row>
    <row r="96" spans="1:2" x14ac:dyDescent="0.3">
      <c r="A96" s="37"/>
      <c r="B96" s="37"/>
    </row>
    <row r="97" spans="1:2" x14ac:dyDescent="0.3">
      <c r="A97" s="37"/>
      <c r="B97" s="37"/>
    </row>
    <row r="98" spans="1:2" x14ac:dyDescent="0.3">
      <c r="A98" s="37"/>
      <c r="B98" s="37"/>
    </row>
    <row r="99" spans="1:2" x14ac:dyDescent="0.3">
      <c r="A99" s="37"/>
      <c r="B99" s="37"/>
    </row>
    <row r="100" spans="1:2" x14ac:dyDescent="0.3">
      <c r="A100" s="37"/>
      <c r="B100" s="37"/>
    </row>
    <row r="101" spans="1:2" x14ac:dyDescent="0.3">
      <c r="A101" s="37"/>
      <c r="B101" s="37"/>
    </row>
    <row r="102" spans="1:2" x14ac:dyDescent="0.3">
      <c r="A102" s="37"/>
      <c r="B102" s="37"/>
    </row>
    <row r="103" spans="1:2" x14ac:dyDescent="0.3">
      <c r="A103" s="37"/>
      <c r="B103" s="37"/>
    </row>
    <row r="104" spans="1:2" x14ac:dyDescent="0.3">
      <c r="A104" s="37"/>
      <c r="B104" s="37"/>
    </row>
    <row r="105" spans="1:2" x14ac:dyDescent="0.3">
      <c r="A105" s="37"/>
      <c r="B105" s="37"/>
    </row>
    <row r="106" spans="1:2" x14ac:dyDescent="0.3">
      <c r="A106" s="37"/>
      <c r="B106" s="37"/>
    </row>
    <row r="107" spans="1:2" x14ac:dyDescent="0.3">
      <c r="A107" s="37"/>
      <c r="B107" s="37"/>
    </row>
    <row r="108" spans="1:2" x14ac:dyDescent="0.3">
      <c r="A108" s="37"/>
      <c r="B108" s="37"/>
    </row>
    <row r="109" spans="1:2" x14ac:dyDescent="0.3">
      <c r="A109" s="37"/>
      <c r="B109" s="37"/>
    </row>
    <row r="110" spans="1:2" x14ac:dyDescent="0.3">
      <c r="A110" s="37"/>
      <c r="B110" s="37"/>
    </row>
    <row r="111" spans="1:2" x14ac:dyDescent="0.3">
      <c r="A111" s="37"/>
      <c r="B111" s="37"/>
    </row>
    <row r="112" spans="1:2" x14ac:dyDescent="0.3">
      <c r="A112" s="37"/>
      <c r="B112" s="37"/>
    </row>
    <row r="113" spans="1:2" x14ac:dyDescent="0.3">
      <c r="A113" s="37"/>
      <c r="B113" s="37"/>
    </row>
    <row r="114" spans="1:2" x14ac:dyDescent="0.3">
      <c r="A114" s="37"/>
      <c r="B114" s="37"/>
    </row>
    <row r="115" spans="1:2" x14ac:dyDescent="0.3">
      <c r="A115" s="37"/>
      <c r="B115" s="37"/>
    </row>
    <row r="116" spans="1:2" x14ac:dyDescent="0.3">
      <c r="A116" s="37"/>
      <c r="B116" s="37"/>
    </row>
    <row r="117" spans="1:2" x14ac:dyDescent="0.3">
      <c r="A117" s="37"/>
      <c r="B117" s="37"/>
    </row>
    <row r="118" spans="1:2" x14ac:dyDescent="0.3">
      <c r="A118" s="37"/>
      <c r="B118" s="37"/>
    </row>
    <row r="119" spans="1:2" x14ac:dyDescent="0.3">
      <c r="A119" s="37"/>
      <c r="B119" s="37"/>
    </row>
    <row r="120" spans="1:2" x14ac:dyDescent="0.3">
      <c r="A120" s="37"/>
      <c r="B120" s="37"/>
    </row>
    <row r="121" spans="1:2" x14ac:dyDescent="0.3">
      <c r="A121" s="37"/>
      <c r="B121" s="37"/>
    </row>
    <row r="122" spans="1:2" x14ac:dyDescent="0.3">
      <c r="A122" s="37"/>
      <c r="B122" s="37"/>
    </row>
    <row r="123" spans="1:2" x14ac:dyDescent="0.3">
      <c r="A123" s="37"/>
      <c r="B123" s="37"/>
    </row>
    <row r="124" spans="1:2" x14ac:dyDescent="0.3">
      <c r="A124" s="37"/>
      <c r="B124" s="37"/>
    </row>
    <row r="125" spans="1:2" x14ac:dyDescent="0.3">
      <c r="A125" s="37"/>
      <c r="B125" s="37"/>
    </row>
    <row r="126" spans="1:2" x14ac:dyDescent="0.3">
      <c r="A126" s="37"/>
      <c r="B126" s="37"/>
    </row>
    <row r="127" spans="1:2" x14ac:dyDescent="0.3">
      <c r="A127" s="37"/>
      <c r="B127" s="37"/>
    </row>
    <row r="128" spans="1:2" x14ac:dyDescent="0.3">
      <c r="A128" s="37"/>
      <c r="B128" s="37"/>
    </row>
    <row r="129" spans="1:2" x14ac:dyDescent="0.3">
      <c r="A129" s="37"/>
      <c r="B129" s="37"/>
    </row>
    <row r="130" spans="1:2" x14ac:dyDescent="0.3">
      <c r="A130" s="37"/>
      <c r="B130" s="37"/>
    </row>
    <row r="131" spans="1:2" x14ac:dyDescent="0.3">
      <c r="A131" s="37"/>
      <c r="B131" s="37"/>
    </row>
    <row r="132" spans="1:2" x14ac:dyDescent="0.3">
      <c r="A132" s="37"/>
      <c r="B132" s="37"/>
    </row>
    <row r="133" spans="1:2" x14ac:dyDescent="0.3">
      <c r="A133" s="37"/>
      <c r="B133" s="37"/>
    </row>
    <row r="134" spans="1:2" x14ac:dyDescent="0.3">
      <c r="A134" s="37"/>
      <c r="B134" s="37"/>
    </row>
    <row r="135" spans="1:2" x14ac:dyDescent="0.3">
      <c r="A135" s="37"/>
      <c r="B135" s="37"/>
    </row>
    <row r="136" spans="1:2" x14ac:dyDescent="0.3">
      <c r="A136" s="37"/>
      <c r="B136" s="37"/>
    </row>
    <row r="137" spans="1:2" x14ac:dyDescent="0.3">
      <c r="A137" s="37"/>
      <c r="B137" s="37"/>
    </row>
    <row r="138" spans="1:2" x14ac:dyDescent="0.3">
      <c r="A138" s="37"/>
      <c r="B138" s="37"/>
    </row>
    <row r="139" spans="1:2" x14ac:dyDescent="0.3">
      <c r="A139" s="37"/>
      <c r="B139" s="37"/>
    </row>
    <row r="140" spans="1:2" x14ac:dyDescent="0.3">
      <c r="A140" s="37"/>
      <c r="B140" s="37"/>
    </row>
    <row r="141" spans="1:2" x14ac:dyDescent="0.3">
      <c r="A141" s="37"/>
      <c r="B141" s="37"/>
    </row>
    <row r="142" spans="1:2" x14ac:dyDescent="0.3">
      <c r="A142" s="37"/>
      <c r="B142" s="37"/>
    </row>
    <row r="143" spans="1:2" x14ac:dyDescent="0.3">
      <c r="A143" s="37"/>
      <c r="B143" s="37"/>
    </row>
    <row r="144" spans="1:2" x14ac:dyDescent="0.3">
      <c r="A144" s="37"/>
      <c r="B144" s="37"/>
    </row>
    <row r="145" spans="1:2" x14ac:dyDescent="0.3">
      <c r="A145" s="37"/>
      <c r="B145" s="37"/>
    </row>
    <row r="146" spans="1:2" x14ac:dyDescent="0.3">
      <c r="A146" s="37"/>
      <c r="B146" s="37"/>
    </row>
    <row r="147" spans="1:2" x14ac:dyDescent="0.3">
      <c r="A147" s="37"/>
      <c r="B147" s="37"/>
    </row>
    <row r="148" spans="1:2" x14ac:dyDescent="0.3">
      <c r="A148" s="37"/>
      <c r="B148" s="37"/>
    </row>
    <row r="149" spans="1:2" x14ac:dyDescent="0.3">
      <c r="A149" s="37"/>
      <c r="B149" s="37"/>
    </row>
    <row r="150" spans="1:2" x14ac:dyDescent="0.3">
      <c r="A150" s="37"/>
      <c r="B150" s="37"/>
    </row>
    <row r="151" spans="1:2" x14ac:dyDescent="0.3">
      <c r="A151" s="37"/>
      <c r="B151" s="3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3252-F274-490F-BA8E-BBFEEE82E58A}">
  <sheetPr>
    <tabColor theme="8"/>
  </sheetPr>
  <dimension ref="I3:I10"/>
  <sheetViews>
    <sheetView workbookViewId="0">
      <selection activeCell="K3" sqref="K3"/>
    </sheetView>
  </sheetViews>
  <sheetFormatPr defaultRowHeight="19.95" customHeight="1" x14ac:dyDescent="0.3"/>
  <cols>
    <col min="9" max="9" width="112.21875" style="53" customWidth="1"/>
  </cols>
  <sheetData>
    <row r="3" spans="9:9" ht="19.95" customHeight="1" x14ac:dyDescent="0.3">
      <c r="I3" s="4" t="s">
        <v>395</v>
      </c>
    </row>
    <row r="4" spans="9:9" ht="19.95" customHeight="1" x14ac:dyDescent="0.3">
      <c r="I4" s="4" t="s">
        <v>413</v>
      </c>
    </row>
    <row r="5" spans="9:9" ht="19.95" customHeight="1" x14ac:dyDescent="0.3">
      <c r="I5" s="55" t="s">
        <v>414</v>
      </c>
    </row>
    <row r="6" spans="9:9" ht="19.95" customHeight="1" x14ac:dyDescent="0.3">
      <c r="I6" s="55" t="s">
        <v>415</v>
      </c>
    </row>
    <row r="7" spans="9:9" ht="19.95" customHeight="1" x14ac:dyDescent="0.3">
      <c r="I7" s="55" t="s">
        <v>416</v>
      </c>
    </row>
    <row r="8" spans="9:9" ht="19.95" customHeight="1" x14ac:dyDescent="0.3">
      <c r="I8" s="55" t="s">
        <v>417</v>
      </c>
    </row>
    <row r="9" spans="9:9" ht="19.95" customHeight="1" x14ac:dyDescent="0.3">
      <c r="I9" s="54"/>
    </row>
    <row r="10" spans="9:9" ht="19.95" customHeight="1" x14ac:dyDescent="0.3">
      <c r="I10" s="5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EA3A2-3CD2-47CC-BB8B-32ABED5F4E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Raw Dataset</vt:lpstr>
      <vt:lpstr>Day-1-Clean Dataset</vt:lpstr>
      <vt:lpstr>Day 1 Observations</vt:lpstr>
      <vt:lpstr>Day-2 Clean Dataset</vt:lpstr>
      <vt:lpstr>Day-2 Observations</vt:lpstr>
      <vt:lpstr>Day-3 Clean Dataset</vt:lpstr>
      <vt:lpstr>Day-3 Observations</vt:lpstr>
      <vt:lpstr>Day-4 Clean Dataset</vt:lpstr>
      <vt:lpstr>Day-4 Observations</vt:lpstr>
      <vt:lpstr>Day-5 Clean Dataset</vt:lpstr>
      <vt:lpstr>Day-5 Observations</vt:lpstr>
      <vt:lpstr>Day-6 Clean Dataset</vt:lpstr>
      <vt:lpstr>Day-6 Observations</vt:lpstr>
      <vt:lpstr>Day-7 Clean Dataset</vt:lpstr>
      <vt:lpstr>Day-7 Power Query</vt:lpstr>
      <vt:lpstr>Day-7 Observations</vt:lpstr>
      <vt:lpstr>Day-8 Clean Dataset</vt:lpstr>
      <vt:lpstr>Day-8 Observations</vt:lpstr>
      <vt:lpstr>Day-9 Clean Dataset</vt:lpstr>
      <vt:lpstr>Day-9 Observations</vt:lpstr>
      <vt:lpstr>Day-10 Clean Dataset</vt:lpstr>
      <vt:lpstr>Day-10 Descriptive Statistics</vt:lpstr>
      <vt:lpstr>Day-10 Observations</vt:lpstr>
      <vt:lpstr>Day-11 Clean Dataset</vt:lpstr>
      <vt:lpstr>Day-11 Observations</vt:lpstr>
      <vt:lpstr>Day-12 Clean Dataset</vt:lpstr>
      <vt:lpstr>Day-12 Observations</vt:lpstr>
      <vt:lpstr>Day-13 Clean Dataset</vt:lpstr>
      <vt:lpstr>Day-13 VLOOKUP</vt:lpstr>
      <vt:lpstr>Day-13 Observations</vt:lpstr>
      <vt:lpstr>Day-14 Clean Dataset</vt:lpstr>
      <vt:lpstr>Day-14 Related Table</vt:lpstr>
      <vt:lpstr>Day-14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2026-09-25T10:56:14Z</dcterms:modified>
</cp:coreProperties>
</file>